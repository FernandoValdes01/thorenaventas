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aptura_Terreno" sheetId="2" r:id="rId5"/>
    <sheet state="visible" name="Clientes" sheetId="3" r:id="rId6"/>
    <sheet state="visible" name="Productos" sheetId="4" r:id="rId7"/>
    <sheet state="visible" name="Compras" sheetId="5" r:id="rId8"/>
    <sheet state="visible" name="Ventas" sheetId="6" r:id="rId9"/>
    <sheet state="visible" name="Pedidos" sheetId="7" r:id="rId10"/>
    <sheet state="visible" name="Detalle_Pedidos" sheetId="8" r:id="rId11"/>
    <sheet state="visible" name="Inventario" sheetId="9" r:id="rId12"/>
    <sheet state="visible" name="Orden_Despacho" sheetId="10" r:id="rId13"/>
    <sheet state="visible" name="Escalas_Volumen" sheetId="11" r:id="rId14"/>
    <sheet state="visible" name="Parametros_Zona" sheetId="12" r:id="rId15"/>
    <sheet state="visible" name="Parametros_Clientes" sheetId="13" r:id="rId16"/>
    <sheet state="visible" name="Sectores" sheetId="14" r:id="rId17"/>
    <sheet state="visible" name="Rutas" sheetId="15" r:id="rId18"/>
    <sheet state="visible" name="Cobranza" sheetId="16" r:id="rId19"/>
    <sheet state="visible" name="Lista_Precios" sheetId="17" r:id="rId20"/>
    <sheet state="visible" name="Listas" sheetId="18" r:id="rId21"/>
    <sheet state="visible" name="Manual" sheetId="19" r:id="rId22"/>
  </sheets>
  <definedNames/>
  <calcPr/>
  <extLst>
    <ext uri="GoogleSheetsCustomDataVersion2">
      <go:sheetsCustomData xmlns:go="http://customooxmlschemas.google.com/" r:id="rId23" roundtripDataChecksum="wnhfC6ig1ZD0Ngpb8s92X66LmptcJBTL/ox4UU1xuR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======
ID#AAAB6chVFV8
ChatGPT    (2026-05-14 15:37:05)
Puedes escanear el SKU o código con el lector de barras.</t>
      </text>
    </comment>
  </commentList>
  <extLst>
    <ext uri="GoogleSheetsCustomDataVersion2">
      <go:sheetsCustomData xmlns:go="http://customooxmlschemas.google.com/" r:id="rId1" roundtripDataSignature="AMtx7mjG9Hxc1C+K+v/6d6fnAL6AlFqXC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======
ID#AAAB6chVFWA
ChatGPT    (2026-05-14 15:37:05)
Costo de compra unitario.</t>
      </text>
    </comment>
    <comment authorId="0" ref="H2">
      <text>
        <t xml:space="preserve">======
ID#AAAB6chVFWE
ChatGPT    (2026-05-14 15:37:05)
Costo de transporte prorrateado por unidad.</t>
      </text>
    </comment>
  </commentList>
  <extLst>
    <ext uri="GoogleSheetsCustomDataVersion2">
      <go:sheetsCustomData xmlns:go="http://customooxmlschemas.google.com/" r:id="rId1" roundtripDataSignature="AMtx7mjflGgY8/i5FKIEJ0iadAgaysZWQw=="/>
    </ext>
  </extLst>
</comments>
</file>

<file path=xl/sharedStrings.xml><?xml version="1.0" encoding="utf-8"?>
<sst xmlns="http://schemas.openxmlformats.org/spreadsheetml/2006/main" count="1265" uniqueCount="441">
  <si>
    <t>DASHBOARD MASTER - COMERCIAL THORENA</t>
  </si>
  <si>
    <t>Ventas Mes</t>
  </si>
  <si>
    <t>Utilidad Mes</t>
  </si>
  <si>
    <t>Margen Promedio</t>
  </si>
  <si>
    <t>Pedidos Mes</t>
  </si>
  <si>
    <t>Clientes Activos</t>
  </si>
  <si>
    <t>Stock Valorizado</t>
  </si>
  <si>
    <t>Clientes Atendidos</t>
  </si>
  <si>
    <t>Ticket Promedio</t>
  </si>
  <si>
    <t>Cobranza Pendiente</t>
  </si>
  <si>
    <t>Productos Bajo Stock</t>
  </si>
  <si>
    <t>Ventas por Zona</t>
  </si>
  <si>
    <t>Top Productos</t>
  </si>
  <si>
    <t>Zona</t>
  </si>
  <si>
    <t>Ventas</t>
  </si>
  <si>
    <t>Utilidad</t>
  </si>
  <si>
    <t>Pedidos</t>
  </si>
  <si>
    <t>Producto</t>
  </si>
  <si>
    <t>Villarrica</t>
  </si>
  <si>
    <t>Papel Higiénico 4 rollos</t>
  </si>
  <si>
    <t>Pucón</t>
  </si>
  <si>
    <t>Papel Higiénico 12 rollos</t>
  </si>
  <si>
    <t>Lican Ray</t>
  </si>
  <si>
    <t>Nova Toalla Papel 2 rollos</t>
  </si>
  <si>
    <t>Ñancul</t>
  </si>
  <si>
    <t>Energética Score Gorilla 735 ml</t>
  </si>
  <si>
    <t>Curarrehue</t>
  </si>
  <si>
    <t>Agua 1.5 L</t>
  </si>
  <si>
    <t>Freire</t>
  </si>
  <si>
    <t>Agua pack 6 unidades</t>
  </si>
  <si>
    <t>Pitrufquén</t>
  </si>
  <si>
    <t>Huevos Primera bandeja 30 un</t>
  </si>
  <si>
    <t>Huevos Extra caja 180 un</t>
  </si>
  <si>
    <t>CAPTURA RÁPIDA EN TERRENO - CREAR PEDIDO</t>
  </si>
  <si>
    <t>N° Pedido</t>
  </si>
  <si>
    <t>PED-</t>
  </si>
  <si>
    <t>Fecha</t>
  </si>
  <si>
    <t>Cliente</t>
  </si>
  <si>
    <t>Sector</t>
  </si>
  <si>
    <t>Vendedor</t>
  </si>
  <si>
    <t>Jorge</t>
  </si>
  <si>
    <t>Forma Pago</t>
  </si>
  <si>
    <t>Transferencia</t>
  </si>
  <si>
    <t>Estado</t>
  </si>
  <si>
    <t>Pedido</t>
  </si>
  <si>
    <t>SKU / Código Barra</t>
  </si>
  <si>
    <t>Cantidad</t>
  </si>
  <si>
    <t>Precio Unitario</t>
  </si>
  <si>
    <t>Subtotal</t>
  </si>
  <si>
    <t>Costo Unitario</t>
  </si>
  <si>
    <t>TOTAL PEDIDO</t>
  </si>
  <si>
    <t>UTILIDAD</t>
  </si>
  <si>
    <t>BASE DE CLIENTES - COMERCIAL THORENA</t>
  </si>
  <si>
    <t>ID Cliente</t>
  </si>
  <si>
    <t>Nombre Negocio</t>
  </si>
  <si>
    <t>RUT</t>
  </si>
  <si>
    <t>Giro</t>
  </si>
  <si>
    <t>Dirección</t>
  </si>
  <si>
    <t>Comuna/Zona</t>
  </si>
  <si>
    <t>Contacto</t>
  </si>
  <si>
    <t>WhatsApp</t>
  </si>
  <si>
    <t>Instagram</t>
  </si>
  <si>
    <t>Frecuencia Compra</t>
  </si>
  <si>
    <t>Tipo Cliente</t>
  </si>
  <si>
    <t>Volumen Mensual Meta</t>
  </si>
  <si>
    <t>Crédito</t>
  </si>
  <si>
    <t>Deuda Actual</t>
  </si>
  <si>
    <t>Observaciones</t>
  </si>
  <si>
    <t>Ventas Acumuladas</t>
  </si>
  <si>
    <t>% Cumplimiento Meta</t>
  </si>
  <si>
    <t>Última Venta</t>
  </si>
  <si>
    <t>CLI-001</t>
  </si>
  <si>
    <t>Provisiones bazar</t>
  </si>
  <si>
    <t>16.534.113-9</t>
  </si>
  <si>
    <t>provisiones</t>
  </si>
  <si>
    <t>luis durant 1895</t>
  </si>
  <si>
    <t>Segunda Faja</t>
  </si>
  <si>
    <t>Viviana</t>
  </si>
  <si>
    <t>Semanal</t>
  </si>
  <si>
    <t>Negocio fijo</t>
  </si>
  <si>
    <t>no</t>
  </si>
  <si>
    <t>Activo</t>
  </si>
  <si>
    <t>Compra mix mensual</t>
  </si>
  <si>
    <t>CLI-002</t>
  </si>
  <si>
    <t>Almacén Don Pedro</t>
  </si>
  <si>
    <t>76.222.333-4</t>
  </si>
  <si>
    <t>Almacén</t>
  </si>
  <si>
    <t>Pedro de Valdivia 402</t>
  </si>
  <si>
    <t>Pedro Muñoz</t>
  </si>
  <si>
    <t>+56974123698</t>
  </si>
  <si>
    <t>No</t>
  </si>
  <si>
    <t>Prefiere huevos y carbón</t>
  </si>
  <si>
    <t>CLI-003</t>
  </si>
  <si>
    <t>Cabañas Vista Lago</t>
  </si>
  <si>
    <t>78.333.444-5</t>
  </si>
  <si>
    <t>Cabañas</t>
  </si>
  <si>
    <t>Km 4 Camino Pucón</t>
  </si>
  <si>
    <t>Costanera</t>
  </si>
  <si>
    <t>Carolina Rivas</t>
  </si>
  <si>
    <t>+56966234511</t>
  </si>
  <si>
    <t>@vistalago</t>
  </si>
  <si>
    <t>Quincenal</t>
  </si>
  <si>
    <t>Sí</t>
  </si>
  <si>
    <t>Temporada alta</t>
  </si>
  <si>
    <t>CLI-004</t>
  </si>
  <si>
    <t>Restaurante El Fogón</t>
  </si>
  <si>
    <t>79.444.555-6</t>
  </si>
  <si>
    <t>Restaurant</t>
  </si>
  <si>
    <t>O'Higgins 820</t>
  </si>
  <si>
    <t>Centro</t>
  </si>
  <si>
    <t>Luis Álvarez</t>
  </si>
  <si>
    <t>+56982345677</t>
  </si>
  <si>
    <t>@elfogonpucon</t>
  </si>
  <si>
    <t>Carbón y bebidas</t>
  </si>
  <si>
    <t>CLI-005</t>
  </si>
  <si>
    <t>Supermercado Barrio Sur</t>
  </si>
  <si>
    <t>77.555.666-7</t>
  </si>
  <si>
    <t>Supermercado</t>
  </si>
  <si>
    <t>Avenida Alemania 1550</t>
  </si>
  <si>
    <t>Paola Soto</t>
  </si>
  <si>
    <t>+56977889966</t>
  </si>
  <si>
    <t>Mayorista</t>
  </si>
  <si>
    <t>Cliente potencial alto</t>
  </si>
  <si>
    <t>CLI-006</t>
  </si>
  <si>
    <t>Hostal Ruka</t>
  </si>
  <si>
    <t>76.666.777-8</t>
  </si>
  <si>
    <t>Hostal</t>
  </si>
  <si>
    <t>General Urrutia 321</t>
  </si>
  <si>
    <t>Ignacio Pérez</t>
  </si>
  <si>
    <t>+56955443322</t>
  </si>
  <si>
    <t>@hostalruka</t>
  </si>
  <si>
    <t>Mensual</t>
  </si>
  <si>
    <t>Hotel/Hostal</t>
  </si>
  <si>
    <t>Papel, agua, café</t>
  </si>
  <si>
    <t>CLI-007</t>
  </si>
  <si>
    <t>Food Truck La Ruta</t>
  </si>
  <si>
    <t>77.777.888-9</t>
  </si>
  <si>
    <t>Food Truck</t>
  </si>
  <si>
    <t>Sector Playa Grande</t>
  </si>
  <si>
    <t>Licán Urbano</t>
  </si>
  <si>
    <t>Fernanda Díaz</t>
  </si>
  <si>
    <t>+56944332211</t>
  </si>
  <si>
    <t>Compra bebidas y carbón</t>
  </si>
  <si>
    <t>CLI-008</t>
  </si>
  <si>
    <t>Café Araucanía</t>
  </si>
  <si>
    <t>78.888.999-0</t>
  </si>
  <si>
    <t>Cafetería</t>
  </si>
  <si>
    <t>Camino Internacional 115</t>
  </si>
  <si>
    <t>Camino Internacional</t>
  </si>
  <si>
    <t>Daniela Vera</t>
  </si>
  <si>
    <t>+56933221100</t>
  </si>
  <si>
    <t>@cafearaucania</t>
  </si>
  <si>
    <t>Café, agua, confort</t>
  </si>
  <si>
    <t>CLI-009</t>
  </si>
  <si>
    <t>Botillería El Cruce</t>
  </si>
  <si>
    <t>79.999.000-1</t>
  </si>
  <si>
    <t>Botillería</t>
  </si>
  <si>
    <t>Cruce Ñancul 8</t>
  </si>
  <si>
    <t>Rural</t>
  </si>
  <si>
    <t>Raúl Torres</t>
  </si>
  <si>
    <t>+56922110099</t>
  </si>
  <si>
    <t>Energéticas y carbón</t>
  </si>
  <si>
    <t>CLI-010</t>
  </si>
  <si>
    <t>Camping Los Robles</t>
  </si>
  <si>
    <t>76.101.202-3</t>
  </si>
  <si>
    <t>Camping</t>
  </si>
  <si>
    <t>Ruta S-95 Km 7</t>
  </si>
  <si>
    <t>Marcelo Rojas</t>
  </si>
  <si>
    <t>+56911223344</t>
  </si>
  <si>
    <t>@campingrobles</t>
  </si>
  <si>
    <t>Temporada verano/invierno</t>
  </si>
  <si>
    <t>CLI-011</t>
  </si>
  <si>
    <t>Kiosco Plaza</t>
  </si>
  <si>
    <t>77.202.303-4</t>
  </si>
  <si>
    <t>Kiosco</t>
  </si>
  <si>
    <t>Plaza Central 12</t>
  </si>
  <si>
    <t>Rosa Herrera</t>
  </si>
  <si>
    <t>+56999887766</t>
  </si>
  <si>
    <t>Bajo ticket, frecuente</t>
  </si>
  <si>
    <t>CLI-012</t>
  </si>
  <si>
    <t>Panadería San José</t>
  </si>
  <si>
    <t>78.303.404-5</t>
  </si>
  <si>
    <t>Panadería</t>
  </si>
  <si>
    <t>San Martín 640</t>
  </si>
  <si>
    <t>José Vidal</t>
  </si>
  <si>
    <t>+56988776655</t>
  </si>
  <si>
    <t>Revisar próxima visita</t>
  </si>
  <si>
    <t>CLI-013</t>
  </si>
  <si>
    <t>CLI-014</t>
  </si>
  <si>
    <t>CLI-015</t>
  </si>
  <si>
    <t>CLI-016</t>
  </si>
  <si>
    <t>CLI-017</t>
  </si>
  <si>
    <t>CATÁLOGO DE PRODUCTOS - COSTOS, MÁRGENES Y CÓDIGOS</t>
  </si>
  <si>
    <t>SKU</t>
  </si>
  <si>
    <t>Código Barra</t>
  </si>
  <si>
    <t>Categoría</t>
  </si>
  <si>
    <t>Marca</t>
  </si>
  <si>
    <t>Unidad</t>
  </si>
  <si>
    <t>Costo Compra</t>
  </si>
  <si>
    <t>Transporte Unit.</t>
  </si>
  <si>
    <t>Costo Final</t>
  </si>
  <si>
    <t>IVA</t>
  </si>
  <si>
    <t>Precio Venta Base</t>
  </si>
  <si>
    <t>Margen %</t>
  </si>
  <si>
    <t>Utilidad Unitaria</t>
  </si>
  <si>
    <t>Stock Mínimo</t>
  </si>
  <si>
    <t>Ubicación</t>
  </si>
  <si>
    <t>THO-HIG-001</t>
  </si>
  <si>
    <t>780000000001</t>
  </si>
  <si>
    <t>Higiene</t>
  </si>
  <si>
    <t>Confort</t>
  </si>
  <si>
    <t>Caja/Bolsa</t>
  </si>
  <si>
    <t>Bodega A</t>
  </si>
  <si>
    <t>THO-HIG-002</t>
  </si>
  <si>
    <t>780000000002</t>
  </si>
  <si>
    <t>Pack</t>
  </si>
  <si>
    <t>THO-HIG-003</t>
  </si>
  <si>
    <t>780000000003</t>
  </si>
  <si>
    <t>Nova</t>
  </si>
  <si>
    <t>THO-BEB-001</t>
  </si>
  <si>
    <t>780000000004</t>
  </si>
  <si>
    <t>Bebidas</t>
  </si>
  <si>
    <t>Score</t>
  </si>
  <si>
    <t>Bodega B</t>
  </si>
  <si>
    <t>THO-BEB-002</t>
  </si>
  <si>
    <t>780000000005</t>
  </si>
  <si>
    <t>Genérica</t>
  </si>
  <si>
    <t>THO-BEB-003</t>
  </si>
  <si>
    <t>780000000006</t>
  </si>
  <si>
    <t>THO-ALI-001</t>
  </si>
  <si>
    <t>780000000007</t>
  </si>
  <si>
    <t>Alimentos</t>
  </si>
  <si>
    <t>Fundo El Peumo</t>
  </si>
  <si>
    <t>Bandeja</t>
  </si>
  <si>
    <t>Frágil</t>
  </si>
  <si>
    <t>THO-ALI-002</t>
  </si>
  <si>
    <t>780000000008</t>
  </si>
  <si>
    <t>Caja</t>
  </si>
  <si>
    <t>THO-ALI-003</t>
  </si>
  <si>
    <t>780000000009</t>
  </si>
  <si>
    <t>Café sobre caja 20 un</t>
  </si>
  <si>
    <t>Genérico</t>
  </si>
  <si>
    <t>Bodega C</t>
  </si>
  <si>
    <t>THO-COM-001</t>
  </si>
  <si>
    <t>780000000010</t>
  </si>
  <si>
    <t>Combustible</t>
  </si>
  <si>
    <t>Carbón bolsa 2.5 kg</t>
  </si>
  <si>
    <t>Comercial Thorena</t>
  </si>
  <si>
    <t>Bolsa</t>
  </si>
  <si>
    <t>Bodega D</t>
  </si>
  <si>
    <t>THO-COM-002</t>
  </si>
  <si>
    <t>780000000011</t>
  </si>
  <si>
    <t>Leña saco pino</t>
  </si>
  <si>
    <t>Saco</t>
  </si>
  <si>
    <t>Exterior</t>
  </si>
  <si>
    <t>THO-COM-003</t>
  </si>
  <si>
    <t>780000000012</t>
  </si>
  <si>
    <t>Pellet saco 15 kg</t>
  </si>
  <si>
    <t>Pellet Jota</t>
  </si>
  <si>
    <t>THO-LIM-001</t>
  </si>
  <si>
    <t>780000000013</t>
  </si>
  <si>
    <t>Limpieza</t>
  </si>
  <si>
    <t>Lavalozas 750 ml</t>
  </si>
  <si>
    <t>THO-OTR-001</t>
  </si>
  <si>
    <t>780000000014</t>
  </si>
  <si>
    <t>Otros</t>
  </si>
  <si>
    <t>Bidón combustible 25 L</t>
  </si>
  <si>
    <t>Bodega E</t>
  </si>
  <si>
    <t>COMPRAS / INGRESO DE MERCADERÍA</t>
  </si>
  <si>
    <t>Proveedor</t>
  </si>
  <si>
    <t>N° OC Compra</t>
  </si>
  <si>
    <t>Costo Total</t>
  </si>
  <si>
    <t>Recepción</t>
  </si>
  <si>
    <t>Factura/Guía</t>
  </si>
  <si>
    <t>Observación</t>
  </si>
  <si>
    <t>OC-C-0001</t>
  </si>
  <si>
    <t>Recibido</t>
  </si>
  <si>
    <t>G-1001</t>
  </si>
  <si>
    <t>Huevos primera</t>
  </si>
  <si>
    <t>Huevos extra</t>
  </si>
  <si>
    <t>Proveedor Bebidas</t>
  </si>
  <si>
    <t>OC-C-0002</t>
  </si>
  <si>
    <t>G-1002</t>
  </si>
  <si>
    <t>Energéticas</t>
  </si>
  <si>
    <t>Agua pack</t>
  </si>
  <si>
    <t>OC-C-0003</t>
  </si>
  <si>
    <t>G-1003</t>
  </si>
  <si>
    <t>Carbón</t>
  </si>
  <si>
    <t>Softys/Mayorista</t>
  </si>
  <si>
    <t>OC-C-0004</t>
  </si>
  <si>
    <t>G-1004</t>
  </si>
  <si>
    <t>OC-C-0005</t>
  </si>
  <si>
    <t>Pendiente</t>
  </si>
  <si>
    <t>G-1005</t>
  </si>
  <si>
    <t>Compra próxima semana</t>
  </si>
  <si>
    <t>VENTAS AUTOMÁTICAS DESDE PEDIDOS</t>
  </si>
  <si>
    <t>Venta</t>
  </si>
  <si>
    <t>Costo</t>
  </si>
  <si>
    <t>Estado Despacho</t>
  </si>
  <si>
    <t>PEDIDOS EN TERRENO</t>
  </si>
  <si>
    <t>Total Pedido</t>
  </si>
  <si>
    <t>Utilidad Pedido</t>
  </si>
  <si>
    <t>PED-1001</t>
  </si>
  <si>
    <t>Ruta 2</t>
  </si>
  <si>
    <t>Efectivo</t>
  </si>
  <si>
    <t>Pedido terreno</t>
  </si>
  <si>
    <t>PED-1002</t>
  </si>
  <si>
    <t>Pagado</t>
  </si>
  <si>
    <t>PED-1003</t>
  </si>
  <si>
    <t>Minimarket Los Pinos</t>
  </si>
  <si>
    <t>Despachado</t>
  </si>
  <si>
    <t>PED-1004</t>
  </si>
  <si>
    <t>Débito/Crédito</t>
  </si>
  <si>
    <t>PED-1005</t>
  </si>
  <si>
    <t>PED-1006</t>
  </si>
  <si>
    <t>Preparando</t>
  </si>
  <si>
    <t>PED-1007</t>
  </si>
  <si>
    <t>PED-1008</t>
  </si>
  <si>
    <t>PED-1009</t>
  </si>
  <si>
    <t>Ruta 1</t>
  </si>
  <si>
    <t>Crédito 7 días</t>
  </si>
  <si>
    <t>PED-1010</t>
  </si>
  <si>
    <t>PED-1011</t>
  </si>
  <si>
    <t>PED-1012</t>
  </si>
  <si>
    <t>PED-1013</t>
  </si>
  <si>
    <t>PED-1014</t>
  </si>
  <si>
    <t>PED-1015</t>
  </si>
  <si>
    <t>PED-1016</t>
  </si>
  <si>
    <t>PED-1017</t>
  </si>
  <si>
    <t>PED-1018</t>
  </si>
  <si>
    <t>PED-1019</t>
  </si>
  <si>
    <t>PED-1020</t>
  </si>
  <si>
    <t>PED-1021</t>
  </si>
  <si>
    <t>PED-1022</t>
  </si>
  <si>
    <t>DETALLE DE PEDIDOS / REBAJA INVENTARIO</t>
  </si>
  <si>
    <t>Utilidad Línea</t>
  </si>
  <si>
    <t>Escala Aplicada</t>
  </si>
  <si>
    <t>Descuento %</t>
  </si>
  <si>
    <t>INVENTARIO MASTER - CONTROL DE STOCK AUTOMÁTICO</t>
  </si>
  <si>
    <t>Stock Inicial</t>
  </si>
  <si>
    <t>Entradas Compras</t>
  </si>
  <si>
    <t>Salidas Ventas</t>
  </si>
  <si>
    <t>Stock Actual</t>
  </si>
  <si>
    <t>Alerta</t>
  </si>
  <si>
    <t>ORDEN DE DESPACHO - PLANTILLA IMPRIMIBLE</t>
  </si>
  <si>
    <t>Precio</t>
  </si>
  <si>
    <t>Observaciones:</t>
  </si>
  <si>
    <t>Firma Cliente:</t>
  </si>
  <si>
    <t>Firma Repartidor:</t>
  </si>
  <si>
    <t>ESCALA DE % DE VENTAS POR VOLUMEN</t>
  </si>
  <si>
    <t>Escala</t>
  </si>
  <si>
    <t>Cantidad Desde</t>
  </si>
  <si>
    <t>Cantidad Hasta</t>
  </si>
  <si>
    <t>Objetivo</t>
  </si>
  <si>
    <t>Comentario</t>
  </si>
  <si>
    <t>Minorista</t>
  </si>
  <si>
    <t>Venta normal</t>
  </si>
  <si>
    <t>Sin descuento</t>
  </si>
  <si>
    <t>Negocio pequeño</t>
  </si>
  <si>
    <t>Activar recompra</t>
  </si>
  <si>
    <t>Bueno para almacenes</t>
  </si>
  <si>
    <t>Mayorista base</t>
  </si>
  <si>
    <t>Mayor volumen</t>
  </si>
  <si>
    <t>Pedido mixto</t>
  </si>
  <si>
    <t>Mayorista fuerte</t>
  </si>
  <si>
    <t>Cliente fijo</t>
  </si>
  <si>
    <t>Prioridad ruta</t>
  </si>
  <si>
    <t>Distribuidor</t>
  </si>
  <si>
    <t>Alto volumen</t>
  </si>
  <si>
    <t>Negociar despacho</t>
  </si>
  <si>
    <t>Especial</t>
  </si>
  <si>
    <t>Volumen grande</t>
  </si>
  <si>
    <t>Evaluar margen real</t>
  </si>
  <si>
    <t>PARAMETROS ZONA</t>
  </si>
  <si>
    <t>Visitas Meta</t>
  </si>
  <si>
    <t>% Cumplimiento Visita</t>
  </si>
  <si>
    <t>Producto Fuerte</t>
  </si>
  <si>
    <t>Revisar ranking</t>
  </si>
  <si>
    <t>PARAMETROS CLIENTES</t>
  </si>
  <si>
    <t>Meta Mensual</t>
  </si>
  <si>
    <t>% Meta</t>
  </si>
  <si>
    <t>Estado Cliente</t>
  </si>
  <si>
    <t>Recomendación Comercial</t>
  </si>
  <si>
    <t>SECTORES</t>
  </si>
  <si>
    <t>Zona Principal</t>
  </si>
  <si>
    <t>Clientes</t>
  </si>
  <si>
    <t>Prioridad</t>
  </si>
  <si>
    <t>Revisar ruta</t>
  </si>
  <si>
    <t>Molco</t>
  </si>
  <si>
    <t>RUTAS</t>
  </si>
  <si>
    <t>Clientes Visitados</t>
  </si>
  <si>
    <t>Clientes con Pedido</t>
  </si>
  <si>
    <t>Efectividad %</t>
  </si>
  <si>
    <t>Km Ruta</t>
  </si>
  <si>
    <t>Ruta terreno</t>
  </si>
  <si>
    <t>COBRANZA</t>
  </si>
  <si>
    <t>Documento</t>
  </si>
  <si>
    <t>Fecha Emisión</t>
  </si>
  <si>
    <t>Vencimiento</t>
  </si>
  <si>
    <t>Monto</t>
  </si>
  <si>
    <t>Abono</t>
  </si>
  <si>
    <t>Saldo</t>
  </si>
  <si>
    <t>Días Vencido</t>
  </si>
  <si>
    <t>FACT-001</t>
  </si>
  <si>
    <t>Crédito 15 días</t>
  </si>
  <si>
    <t>FACT-002</t>
  </si>
  <si>
    <t>Llamar</t>
  </si>
  <si>
    <t>FACT-003</t>
  </si>
  <si>
    <t>Abono recibido</t>
  </si>
  <si>
    <t>LISTA DE PRECIOS POR ESCALA MAYORISTA</t>
  </si>
  <si>
    <t>Precio Base</t>
  </si>
  <si>
    <t>1-9</t>
  </si>
  <si>
    <t>10-29</t>
  </si>
  <si>
    <t>30-49</t>
  </si>
  <si>
    <t>50-99</t>
  </si>
  <si>
    <t>100-299</t>
  </si>
  <si>
    <t>300+</t>
  </si>
  <si>
    <t>Margen Base %</t>
  </si>
  <si>
    <t>Margen 300+ %</t>
  </si>
  <si>
    <t>LISTAS Y PARÁMETROS BASE</t>
  </si>
  <si>
    <t>Categorías</t>
  </si>
  <si>
    <t>Zonas</t>
  </si>
  <si>
    <t>Sectores</t>
  </si>
  <si>
    <t>Vendedores</t>
  </si>
  <si>
    <t>Formas Pago</t>
  </si>
  <si>
    <t>Estados</t>
  </si>
  <si>
    <t>Tipos Cliente</t>
  </si>
  <si>
    <t>Cotizado</t>
  </si>
  <si>
    <t>Anulado</t>
  </si>
  <si>
    <t>Cliente final</t>
  </si>
  <si>
    <t>MANUAL DE USO - ERP MASTER COMERCIAL THORENA</t>
  </si>
  <si>
    <t>Ingresar nuevos clientes en Clientes.</t>
  </si>
  <si>
    <t>Modificar productos, costos y márgenes en Productos.</t>
  </si>
  <si>
    <t>Registrar compras en Compras; eso suma entradas a Inventario.</t>
  </si>
  <si>
    <t>Usar Captura_Terreno para armar pedidos rápidos con lector de código.</t>
  </si>
  <si>
    <t>Registrar pedido final en Pedidos y líneas en Detalle_Pedidos.</t>
  </si>
  <si>
    <t>El Inventario baja automáticamente con Detalle_Pedidos.</t>
  </si>
  <si>
    <t>Dashboard muestra ventas, utilidad, stock y clientes.</t>
  </si>
  <si>
    <t>Parametros_Zona y Parametros_Clientes muestran dónde está el dinero real.</t>
  </si>
  <si>
    <t>Escalas_Volumen controla % de descuento por cantidad.</t>
  </si>
  <si>
    <t>Cobranza controla crédito, vencimientos y saldos.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</si>
</sst>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 #,##0;[Red]($ #,##0);-"/>
    <numFmt numFmtId="165" formatCode="0.0%"/>
    <numFmt numFmtId="166" formatCode="dd-mm-yyyy"/>
  </numFmts>
  <fonts count="9">
    <font>
      <sz val="11.0"/>
      <color theme="1"/>
      <name val="Calibri"/>
      <scheme val="minor"/>
    </font>
    <font>
      <b/>
      <sz val="15.0"/>
      <color rgb="FFFFFFFF"/>
      <name val="Calibri"/>
      <scheme val="minor"/>
    </font>
    <font/>
    <font>
      <sz val="11.0"/>
      <color theme="1"/>
      <name val="Calibri"/>
    </font>
    <font>
      <b/>
      <color rgb="FFFFFFFF"/>
      <name val="Calibri"/>
      <scheme val="minor"/>
    </font>
    <font>
      <b/>
      <sz val="14.0"/>
      <color theme="1"/>
      <name val="Calibri"/>
      <scheme val="minor"/>
    </font>
    <font>
      <b/>
      <sz val="12.0"/>
      <color rgb="FF17365D"/>
      <name val="Calibri"/>
      <scheme val="minor"/>
    </font>
    <font>
      <b/>
      <color theme="1"/>
      <name val="Calibri"/>
      <scheme val="minor"/>
    </font>
    <font>
      <b/>
      <color rgb="FF17365D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0F6B78"/>
        <bgColor rgb="FF0F6B78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4B183"/>
        <bgColor rgb="FFF4B183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medium">
        <color rgb="FF17365D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1"/>
    </xf>
    <xf borderId="4" fillId="4" fontId="5" numFmtId="164" xfId="0" applyAlignment="1" applyBorder="1" applyFill="1" applyFont="1" applyNumberFormat="1">
      <alignment shrinkToFit="0" vertical="center" wrapText="1"/>
    </xf>
    <xf borderId="4" fillId="4" fontId="5" numFmtId="165" xfId="0" applyAlignment="1" applyBorder="1" applyFont="1" applyNumberFormat="1">
      <alignment shrinkToFit="0" vertical="center" wrapText="1"/>
    </xf>
    <xf borderId="4" fillId="4" fontId="5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5" fillId="5" fontId="4" numFmtId="0" xfId="0" applyAlignment="1" applyBorder="1" applyFill="1" applyFont="1">
      <alignment shrinkToFit="0" vertical="center" wrapText="1"/>
    </xf>
    <xf borderId="5" fillId="3" fontId="4" numFmtId="0" xfId="0" applyAlignment="1" applyBorder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4" fillId="6" fontId="7" numFmtId="0" xfId="0" applyAlignment="1" applyBorder="1" applyFill="1" applyFont="1">
      <alignment shrinkToFit="0" vertical="center" wrapText="1"/>
    </xf>
    <xf borderId="4" fillId="4" fontId="3" numFmtId="0" xfId="0" applyAlignment="1" applyBorder="1" applyFont="1">
      <alignment shrinkToFit="0" vertical="center" wrapText="1"/>
    </xf>
    <xf borderId="4" fillId="4" fontId="3" numFmtId="166" xfId="0" applyAlignment="1" applyBorder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5" fillId="5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5" fillId="3" fontId="4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5" fillId="7" fontId="4" numFmtId="0" xfId="0" applyAlignment="1" applyBorder="1" applyFill="1" applyFont="1">
      <alignment shrinkToFit="0" vertical="center" wrapText="1"/>
    </xf>
    <xf borderId="4" fillId="5" fontId="4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  <tableStyles count="14">
    <tableStyle count="3" pivot="0" name="Clientes-style">
      <tableStyleElement dxfId="1" type="headerRow"/>
      <tableStyleElement dxfId="2" type="firstRowStripe"/>
      <tableStyleElement dxfId="3" type="secondRowStripe"/>
    </tableStyle>
    <tableStyle count="3" pivot="0" name="Productos-style">
      <tableStyleElement dxfId="1" type="headerRow"/>
      <tableStyleElement dxfId="2" type="firstRowStripe"/>
      <tableStyleElement dxfId="3" type="secondRowStripe"/>
    </tableStyle>
    <tableStyle count="3" pivot="0" name="Compras-style">
      <tableStyleElement dxfId="1" type="headerRow"/>
      <tableStyleElement dxfId="2" type="firstRowStripe"/>
      <tableStyleElement dxfId="3" type="secondRowStripe"/>
    </tableStyle>
    <tableStyle count="3" pivot="0" name="Ventas-style">
      <tableStyleElement dxfId="1" type="headerRow"/>
      <tableStyleElement dxfId="2" type="firstRowStripe"/>
      <tableStyleElement dxfId="3" type="secondRowStripe"/>
    </tableStyle>
    <tableStyle count="3" pivot="0" name="Pedidos-style">
      <tableStyleElement dxfId="1" type="headerRow"/>
      <tableStyleElement dxfId="2" type="firstRowStripe"/>
      <tableStyleElement dxfId="3" type="secondRowStripe"/>
    </tableStyle>
    <tableStyle count="3" pivot="0" name="Detalle_Pedidos-style">
      <tableStyleElement dxfId="1" type="headerRow"/>
      <tableStyleElement dxfId="2" type="firstRowStripe"/>
      <tableStyleElement dxfId="3" type="secondRowStripe"/>
    </tableStyle>
    <tableStyle count="3" pivot="0" name="Inventario-style">
      <tableStyleElement dxfId="1" type="headerRow"/>
      <tableStyleElement dxfId="2" type="firstRowStripe"/>
      <tableStyleElement dxfId="3" type="secondRowStripe"/>
    </tableStyle>
    <tableStyle count="3" pivot="0" name="Escalas_Volumen-style">
      <tableStyleElement dxfId="1" type="headerRow"/>
      <tableStyleElement dxfId="2" type="firstRowStripe"/>
      <tableStyleElement dxfId="3" type="secondRowStripe"/>
    </tableStyle>
    <tableStyle count="3" pivot="0" name="Parametros_Zona-style">
      <tableStyleElement dxfId="1" type="headerRow"/>
      <tableStyleElement dxfId="2" type="firstRowStripe"/>
      <tableStyleElement dxfId="3" type="secondRowStripe"/>
    </tableStyle>
    <tableStyle count="3" pivot="0" name="Parametros_Clientes-style">
      <tableStyleElement dxfId="1" type="headerRow"/>
      <tableStyleElement dxfId="2" type="firstRowStripe"/>
      <tableStyleElement dxfId="3" type="secondRowStripe"/>
    </tableStyle>
    <tableStyle count="3" pivot="0" name="Sectores-style">
      <tableStyleElement dxfId="1" type="headerRow"/>
      <tableStyleElement dxfId="2" type="firstRowStripe"/>
      <tableStyleElement dxfId="3" type="secondRowStripe"/>
    </tableStyle>
    <tableStyle count="3" pivot="0" name="Rutas-style">
      <tableStyleElement dxfId="1" type="headerRow"/>
      <tableStyleElement dxfId="2" type="firstRowStripe"/>
      <tableStyleElement dxfId="3" type="secondRowStripe"/>
    </tableStyle>
    <tableStyle count="3" pivot="0" name="Cobranza-style">
      <tableStyleElement dxfId="1" type="headerRow"/>
      <tableStyleElement dxfId="2" type="firstRowStripe"/>
      <tableStyleElement dxfId="3" type="secondRowStripe"/>
    </tableStyle>
    <tableStyle count="3" pivot="0" name="Lista_Precio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Ventas por Zona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Dashboard!$A$13:$A$19</c:f>
            </c:strRef>
          </c:cat>
          <c:val>
            <c:numRef>
              <c:f>Dashboard!$B$13:$B$19</c:f>
              <c:numCache/>
            </c:numRef>
          </c:val>
        </c:ser>
        <c:axId val="636135311"/>
        <c:axId val="1822478257"/>
      </c:barChart>
      <c:catAx>
        <c:axId val="63613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Zona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478257"/>
      </c:catAx>
      <c:valAx>
        <c:axId val="1822478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Ventas 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135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Productos por Venta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Dashboard!$G$12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Dashboard!$F$13:$F$20</c:f>
            </c:strRef>
          </c:cat>
          <c:val>
            <c:numRef>
              <c:f>Dashboard!$G$13:$G$20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0</xdr:rowOff>
    </xdr:from>
    <xdr:ext cx="5038725" cy="2514600"/>
    <xdr:graphicFrame>
      <xdr:nvGraphicFramePr>
        <xdr:cNvPr id="202381710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22</xdr:row>
      <xdr:rowOff>0</xdr:rowOff>
    </xdr:from>
    <xdr:ext cx="3590925" cy="2514600"/>
    <xdr:graphicFrame>
      <xdr:nvGraphicFramePr>
        <xdr:cNvPr id="113616839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T14" displayName="Table_1" name="Table_1" id="1">
  <tableColumns count="20">
    <tableColumn name="ID Cliente" id="1"/>
    <tableColumn name="Nombre Negocio" id="2"/>
    <tableColumn name="RUT" id="3"/>
    <tableColumn name="Giro" id="4"/>
    <tableColumn name="Dirección" id="5"/>
    <tableColumn name="Sector" id="6"/>
    <tableColumn name="Comuna/Zona" id="7"/>
    <tableColumn name="Contacto" id="8"/>
    <tableColumn name="WhatsApp" id="9"/>
    <tableColumn name="Instagram" id="10"/>
    <tableColumn name="Frecuencia Compra" id="11"/>
    <tableColumn name="Tipo Cliente" id="12"/>
    <tableColumn name="Volumen Mensual Meta" id="13"/>
    <tableColumn name="Crédito" id="14"/>
    <tableColumn name="Deuda Actual" id="15"/>
    <tableColumn name="Estado" id="16"/>
    <tableColumn name="Observaciones" id="17"/>
    <tableColumn name="Ventas Acumuladas" id="18"/>
    <tableColumn name="% Cumplimiento Meta" id="19"/>
    <tableColumn name="Última Venta" id="20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A2:P16" displayName="Table_2" name="Table_2" id="2">
  <tableColumns count="16">
    <tableColumn name="SKU" id="1"/>
    <tableColumn name="Código Barra" id="2"/>
    <tableColumn name="Categoría" id="3"/>
    <tableColumn name="Producto" id="4"/>
    <tableColumn name="Marca" id="5"/>
    <tableColumn name="Unidad" id="6"/>
    <tableColumn name="Costo Compra" id="7"/>
    <tableColumn name="Transporte Unit." id="8"/>
    <tableColumn name="Costo Final" id="9"/>
    <tableColumn name="IVA" id="10"/>
    <tableColumn name="Precio Venta Base" id="11"/>
    <tableColumn name="Margen %" id="12"/>
    <tableColumn name="Utilidad Unitaria" id="13"/>
    <tableColumn name="Stock Mínimo" id="14"/>
    <tableColumn name="Ubicación" id="15"/>
    <tableColumn name="Estado" id="16"/>
  </tableColumns>
  <tableStyleInfo name="Productos-style" showColumnStripes="0" showFirstColumn="1" showLastColumn="1" showRowStripes="1"/>
</table>
</file>

<file path=xl/tables/table3.xml><?xml version="1.0" encoding="utf-8"?>
<table xmlns="http://schemas.openxmlformats.org/spreadsheetml/2006/main" ref="A2:L10" displayName="Table_3" name="Table_3" id="3">
  <tableColumns count="12">
    <tableColumn name="Fecha" id="1"/>
    <tableColumn name="Proveedor" id="2"/>
    <tableColumn name="N° OC Compra" id="3"/>
    <tableColumn name="SKU" id="4"/>
    <tableColumn name="Producto" id="5"/>
    <tableColumn name="Cantidad" id="6"/>
    <tableColumn name="Costo Unitario" id="7"/>
    <tableColumn name="Transporte Unit." id="8"/>
    <tableColumn name="Costo Total" id="9"/>
    <tableColumn name="Recepción" id="10"/>
    <tableColumn name="Factura/Guía" id="11"/>
    <tableColumn name="Observación" id="12"/>
  </tableColumns>
  <tableStyleInfo name="Compras-style" showColumnStripes="0" showFirstColumn="1" showLastColumn="1" showRowStripes="1"/>
</table>
</file>

<file path=xl/tables/table4.xml><?xml version="1.0" encoding="utf-8"?>
<table xmlns="http://schemas.openxmlformats.org/spreadsheetml/2006/main" ref="A2:M73" displayName="Table_4" name="Table_4" id="4">
  <tableColumns count="13">
    <tableColumn name="Fecha" id="1"/>
    <tableColumn name="Cliente" id="2"/>
    <tableColumn name="Zona" id="3"/>
    <tableColumn name="Sector" id="4"/>
    <tableColumn name="Vendedor" id="5"/>
    <tableColumn name="N° Pedido" id="6"/>
    <tableColumn name="Producto" id="7"/>
    <tableColumn name="Venta" id="8"/>
    <tableColumn name="Costo" id="9"/>
    <tableColumn name="Utilidad" id="10"/>
    <tableColumn name="Margen %" id="11"/>
    <tableColumn name="Forma Pago" id="12"/>
    <tableColumn name="Estado Despacho" id="13"/>
  </tableColumns>
  <tableStyleInfo name="Ventas-style" showColumnStripes="0" showFirstColumn="1" showLastColumn="1" showRowStripes="1"/>
</table>
</file>

<file path=xl/tables/table5.xml><?xml version="1.0" encoding="utf-8"?>
<table xmlns="http://schemas.openxmlformats.org/spreadsheetml/2006/main" ref="A2:L24" displayName="Table_5" name="Table_5" id="5">
  <tableColumns count="12">
    <tableColumn name="N° Pedido" id="1"/>
    <tableColumn name="Fecha" id="2"/>
    <tableColumn name="Cliente" id="3"/>
    <tableColumn name="Zona" id="4"/>
    <tableColumn name="Sector" id="5"/>
    <tableColumn name="Vendedor" id="6"/>
    <tableColumn name="Estado" id="7"/>
    <tableColumn name="Forma Pago" id="8"/>
    <tableColumn name="Total Pedido" id="9"/>
    <tableColumn name="Utilidad Pedido" id="10"/>
    <tableColumn name="Margen %" id="11"/>
    <tableColumn name="Observación" id="12"/>
  </tableColumns>
  <tableStyleInfo name="Pedidos-style" showColumnStripes="0" showFirstColumn="1" showLastColumn="1" showRowStripes="1"/>
</table>
</file>

<file path=xl/tables/table6.xml><?xml version="1.0" encoding="utf-8"?>
<table xmlns="http://schemas.openxmlformats.org/spreadsheetml/2006/main" ref="A2:J73" displayName="Table_6" name="Table_6" id="6">
  <tableColumns count="10">
    <tableColumn name="N° Pedido" id="1"/>
    <tableColumn name="SKU" id="2"/>
    <tableColumn name="Producto" id="3"/>
    <tableColumn name="Cantidad" id="4"/>
    <tableColumn name="Precio Unitario" id="5"/>
    <tableColumn name="Subtotal" id="6"/>
    <tableColumn name="Costo Unitario" id="7"/>
    <tableColumn name="Utilidad Línea" id="8"/>
    <tableColumn name="Escala Aplicada" id="9"/>
    <tableColumn name="Descuento %" id="10"/>
  </tableColumns>
  <tableStyleInfo name="Detalle_Pedidos-style" showColumnStripes="0" showFirstColumn="1" showLastColumn="1" showRowStripes="1"/>
</table>
</file>

<file path=xl/tables/table7.xml><?xml version="1.0" encoding="utf-8"?>
<table xmlns="http://schemas.openxmlformats.org/spreadsheetml/2006/main" ref="A2:K16" displayName="Table_7" name="Table_7" id="7">
  <tableColumns count="11">
    <tableColumn name="SKU" id="1"/>
    <tableColumn name="Producto" id="2"/>
    <tableColumn name="Categoría" id="3"/>
    <tableColumn name="Stock Inicial" id="4"/>
    <tableColumn name="Entradas Compras" id="5"/>
    <tableColumn name="Salidas Ventas" id="6"/>
    <tableColumn name="Stock Actual" id="7"/>
    <tableColumn name="Stock Mínimo" id="8"/>
    <tableColumn name="Stock Valorizado" id="9"/>
    <tableColumn name="Alerta" id="10"/>
    <tableColumn name="Ubicación" id="11"/>
  </tableColumns>
  <tableStyleInfo name="Inventario-style" showColumnStripes="0" showFirstColumn="1" showLastColumn="1" showRowStripes="1"/>
</table>
</file>

<file path=xl/tables/table8.xml><?xml version="1.0" encoding="utf-8"?>
<table xmlns="http://schemas.openxmlformats.org/spreadsheetml/2006/main" ref="A2:F8" displayName="Table_8" name="Table_8" id="8">
  <tableColumns count="6">
    <tableColumn name="Escala" id="1"/>
    <tableColumn name="Cantidad Desde" id="2"/>
    <tableColumn name="Cantidad Hasta" id="3"/>
    <tableColumn name="Descuento %" id="4"/>
    <tableColumn name="Objetivo" id="5"/>
    <tableColumn name="Comentario" id="6"/>
  </tableColumns>
  <tableStyleInfo name="Escalas_Volumen-style" showColumnStripes="0" showFirstColumn="1" showLastColumn="1" showRowStripes="1"/>
</table>
</file>

<file path=xl/tables/table9.xml><?xml version="1.0" encoding="utf-8"?>
<table xmlns="http://schemas.openxmlformats.org/spreadsheetml/2006/main" ref="A2:J9" displayName="Table_9" name="Table_9" id="9">
  <tableColumns count="10">
    <tableColumn name="Zona" id="1"/>
    <tableColumn name="Clientes Activos" id="2"/>
    <tableColumn name="Ventas Mes" id="3"/>
    <tableColumn name="Utilidad Mes" id="4"/>
    <tableColumn name="Ticket Promedio" id="5"/>
    <tableColumn name="Pedidos" id="6"/>
    <tableColumn name="Clientes Atendidos" id="7"/>
    <tableColumn name="Visitas Meta" id="8"/>
    <tableColumn name="% Cumplimiento Visita" id="9"/>
    <tableColumn name="Producto Fuerte" id="10"/>
  </tableColumns>
  <tableStyleInfo name="Parametros_Zona-style" showColumnStripes="0" showFirstColumn="1" showLastColumn="1" showRowStripes="1"/>
</table>
</file>

<file path=xl/tables/table10.xml><?xml version="1.0" encoding="utf-8"?>
<table xmlns="http://schemas.openxmlformats.org/spreadsheetml/2006/main" ref="A2:K14" displayName="Table_10" name="Table_10" id="10">
  <tableColumns count="11">
    <tableColumn name="Cliente" id="1"/>
    <tableColumn name="Zona" id="2"/>
    <tableColumn name="Tipo Cliente" id="3"/>
    <tableColumn name="Ventas Mes" id="4"/>
    <tableColumn name="Utilidad" id="5"/>
    <tableColumn name="Pedidos" id="6"/>
    <tableColumn name="Ticket Promedio" id="7"/>
    <tableColumn name="Meta Mensual" id="8"/>
    <tableColumn name="% Meta" id="9"/>
    <tableColumn name="Estado Cliente" id="10"/>
    <tableColumn name="Recomendación Comercial" id="11"/>
  </tableColumns>
  <tableStyleInfo name="Parametros_Clientes-style" showColumnStripes="0" showFirstColumn="1" showLastColumn="1" showRowStripes="1"/>
</table>
</file>

<file path=xl/tables/table11.xml><?xml version="1.0" encoding="utf-8"?>
<table xmlns="http://schemas.openxmlformats.org/spreadsheetml/2006/main" ref="A2:H9" displayName="Table_11" name="Table_11" id="11">
  <tableColumns count="8">
    <tableColumn name="Sector" id="1"/>
    <tableColumn name="Zona Principal" id="2"/>
    <tableColumn name="Clientes" id="3"/>
    <tableColumn name="Ventas" id="4"/>
    <tableColumn name="Utilidad" id="5"/>
    <tableColumn name="Pedidos" id="6"/>
    <tableColumn name="Prioridad" id="7"/>
    <tableColumn name="Observación" id="8"/>
  </tableColumns>
  <tableStyleInfo name="Sectores-style" showColumnStripes="0" showFirstColumn="1" showLastColumn="1" showRowStripes="1"/>
</table>
</file>

<file path=xl/tables/table12.xml><?xml version="1.0" encoding="utf-8"?>
<table xmlns="http://schemas.openxmlformats.org/spreadsheetml/2006/main" ref="A2:K17" displayName="Table_12" name="Table_12" id="12">
  <tableColumns count="11">
    <tableColumn name="Fecha" id="1"/>
    <tableColumn name="Zona" id="2"/>
    <tableColumn name="Sector" id="3"/>
    <tableColumn name="Vendedor" id="4"/>
    <tableColumn name="Clientes Visitados" id="5"/>
    <tableColumn name="Clientes con Pedido" id="6"/>
    <tableColumn name="Ventas" id="7"/>
    <tableColumn name="Efectividad %" id="8"/>
    <tableColumn name="Km Ruta" id="9"/>
    <tableColumn name="Combustible" id="10"/>
    <tableColumn name="Observación" id="11"/>
  </tableColumns>
  <tableStyleInfo name="Rutas-style" showColumnStripes="0" showFirstColumn="1" showLastColumn="1" showRowStripes="1"/>
</table>
</file>

<file path=xl/tables/table13.xml><?xml version="1.0" encoding="utf-8"?>
<table xmlns="http://schemas.openxmlformats.org/spreadsheetml/2006/main" ref="A2:J5" displayName="Table_13" name="Table_13" id="13">
  <tableColumns count="10">
    <tableColumn name="Cliente" id="1"/>
    <tableColumn name="Documento" id="2"/>
    <tableColumn name="Fecha Emisión" id="3"/>
    <tableColumn name="Vencimiento" id="4"/>
    <tableColumn name="Monto" id="5"/>
    <tableColumn name="Abono" id="6"/>
    <tableColumn name="Saldo" id="7"/>
    <tableColumn name="Días Vencido" id="8"/>
    <tableColumn name="Estado" id="9"/>
    <tableColumn name="Observación" id="10"/>
  </tableColumns>
  <tableStyleInfo name="Cobranza-style" showColumnStripes="0" showFirstColumn="1" showLastColumn="1" showRowStripes="1"/>
</table>
</file>

<file path=xl/tables/table14.xml><?xml version="1.0" encoding="utf-8"?>
<table xmlns="http://schemas.openxmlformats.org/spreadsheetml/2006/main" ref="A2:L16" displayName="Table_14" name="Table_14" id="14">
  <tableColumns count="12">
    <tableColumn name="SKU" id="1"/>
    <tableColumn name="Producto" id="2"/>
    <tableColumn name="Costo Final" id="3"/>
    <tableColumn name="Precio Base" id="4"/>
    <tableColumn name="1-9" id="5"/>
    <tableColumn name="10-29" id="6"/>
    <tableColumn name="30-49" id="7"/>
    <tableColumn name="50-99" id="8"/>
    <tableColumn name="100-299" id="9"/>
    <tableColumn name="300+" id="10"/>
    <tableColumn name="Margen Base %" id="11"/>
    <tableColumn name="Margen 300+ %" id="12"/>
  </tableColumns>
  <tableStyleInfo name="Lista_Prec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8.0"/>
    <col customWidth="1" min="2" max="3" width="16.0"/>
    <col customWidth="1" min="4" max="4" width="12.0"/>
    <col customWidth="1" min="5" max="5" width="4.0"/>
    <col customWidth="1" min="6" max="6" width="32.0"/>
    <col customWidth="1" min="7" max="8" width="16.0"/>
    <col customWidth="1" min="9" max="9" width="4.0"/>
    <col customWidth="1" min="10" max="11" width="16.0"/>
    <col customWidth="1" min="12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4"/>
      <c r="B2" s="5" t="s">
        <v>1</v>
      </c>
      <c r="C2" s="4"/>
      <c r="D2" s="5" t="s">
        <v>2</v>
      </c>
      <c r="E2" s="4"/>
      <c r="F2" s="5" t="s">
        <v>3</v>
      </c>
      <c r="G2" s="4"/>
      <c r="H2" s="5" t="s">
        <v>4</v>
      </c>
      <c r="I2" s="4"/>
      <c r="J2" s="5" t="s">
        <v>5</v>
      </c>
      <c r="K2" s="4"/>
      <c r="L2" s="4"/>
    </row>
    <row r="3">
      <c r="A3" s="4"/>
      <c r="B3" s="6">
        <f>SUM(Ventas!H:H)</f>
        <v>5429219.5</v>
      </c>
      <c r="C3" s="4"/>
      <c r="D3" s="6">
        <f>SUM(Ventas!J:J)</f>
        <v>822389.5</v>
      </c>
      <c r="E3" s="4"/>
      <c r="F3" s="7">
        <f>IF(B3&gt;0,D3/B3,0)</f>
        <v>0.1514747193</v>
      </c>
      <c r="G3" s="4"/>
      <c r="H3" s="8">
        <f>COUNTA(Pedidos!A:A)-1</f>
        <v>23</v>
      </c>
      <c r="I3" s="4"/>
      <c r="J3" s="8">
        <f>COUNTA(Clientes!B:B)-1</f>
        <v>12</v>
      </c>
      <c r="K3" s="4"/>
      <c r="L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5" t="s">
        <v>6</v>
      </c>
      <c r="C6" s="4"/>
      <c r="D6" s="5" t="s">
        <v>7</v>
      </c>
      <c r="E6" s="4"/>
      <c r="F6" s="5" t="s">
        <v>8</v>
      </c>
      <c r="G6" s="4"/>
      <c r="H6" s="5" t="s">
        <v>9</v>
      </c>
      <c r="I6" s="4"/>
      <c r="J6" s="5" t="s">
        <v>10</v>
      </c>
      <c r="K6" s="4"/>
      <c r="L6" s="4"/>
    </row>
    <row r="7">
      <c r="A7" s="4"/>
      <c r="B7" s="6">
        <f>SUM(Inventario!I:I)</f>
        <v>-2260220</v>
      </c>
      <c r="C7" s="4"/>
      <c r="D7" s="8">
        <f>COUNTA(Parametros_Clientes!A:A)-1</f>
        <v>13</v>
      </c>
      <c r="E7" s="4"/>
      <c r="F7" s="6">
        <f>IF(H3&gt;0,B3/H3,0)</f>
        <v>236053.0217</v>
      </c>
      <c r="G7" s="4"/>
      <c r="H7" s="6">
        <f>SUM(Cobranza!G:G)</f>
        <v>185000</v>
      </c>
      <c r="I7" s="4"/>
      <c r="J7" s="8">
        <f>COUNTIF(Inventario!J:J,"BAJO")+COUNTIF(Inventario!J:J,"SIN STOCK")</f>
        <v>11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9" t="s">
        <v>11</v>
      </c>
      <c r="B11" s="4"/>
      <c r="C11" s="4"/>
      <c r="D11" s="4"/>
      <c r="E11" s="4"/>
      <c r="F11" s="9" t="s">
        <v>12</v>
      </c>
      <c r="G11" s="4"/>
      <c r="H11" s="4"/>
      <c r="I11" s="4"/>
      <c r="J11" s="4"/>
      <c r="K11" s="4"/>
      <c r="L11" s="4"/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4"/>
      <c r="F12" s="11" t="s">
        <v>17</v>
      </c>
      <c r="G12" s="11" t="s">
        <v>14</v>
      </c>
      <c r="H12" s="4"/>
      <c r="I12" s="4"/>
      <c r="J12" s="4"/>
      <c r="K12" s="4"/>
      <c r="L12" s="4"/>
    </row>
    <row r="13">
      <c r="A13" s="4" t="s">
        <v>18</v>
      </c>
      <c r="B13" s="12">
        <f>SUMIF(Ventas!$C:$C,A13,Ventas!$H:$H)</f>
        <v>1714464.5</v>
      </c>
      <c r="C13" s="12">
        <f>SUMIF(Ventas!$C:$C,A13,Ventas!$J:$J)</f>
        <v>239354.5</v>
      </c>
      <c r="D13" s="4">
        <f>COUNTIF(Pedidos!$D:$D,A13)</f>
        <v>7</v>
      </c>
      <c r="E13" s="4"/>
      <c r="F13" s="4" t="s">
        <v>19</v>
      </c>
      <c r="G13" s="12">
        <f>SUMIF(Ventas!$G:$G,F13,Ventas!$H:$H)</f>
        <v>76941</v>
      </c>
      <c r="H13" s="4"/>
      <c r="I13" s="4"/>
      <c r="J13" s="4"/>
      <c r="K13" s="4"/>
      <c r="L13" s="4"/>
    </row>
    <row r="14">
      <c r="A14" s="4" t="s">
        <v>20</v>
      </c>
      <c r="B14" s="12">
        <f>SUMIF(Ventas!$C:$C,A14,Ventas!$H:$H)</f>
        <v>2205812.5</v>
      </c>
      <c r="C14" s="12">
        <f>SUMIF(Ventas!$C:$C,A14,Ventas!$J:$J)</f>
        <v>312962.5</v>
      </c>
      <c r="D14" s="4">
        <f>COUNTIF(Pedidos!$D:$D,A14)</f>
        <v>8</v>
      </c>
      <c r="E14" s="4"/>
      <c r="F14" s="4" t="s">
        <v>21</v>
      </c>
      <c r="G14" s="12">
        <f>SUMIF(Ventas!$G:$G,F14,Ventas!$H:$H)</f>
        <v>864313.5</v>
      </c>
      <c r="H14" s="4"/>
      <c r="I14" s="4"/>
      <c r="J14" s="4"/>
      <c r="K14" s="4"/>
      <c r="L14" s="4"/>
    </row>
    <row r="15">
      <c r="A15" s="4" t="s">
        <v>22</v>
      </c>
      <c r="B15" s="12">
        <f>SUMIF(Ventas!$C:$C,A15,Ventas!$H:$H)</f>
        <v>650176</v>
      </c>
      <c r="C15" s="12">
        <f>SUMIF(Ventas!$C:$C,A15,Ventas!$J:$J)</f>
        <v>106876</v>
      </c>
      <c r="D15" s="4">
        <f>COUNTIF(Pedidos!$D:$D,A15)</f>
        <v>2</v>
      </c>
      <c r="E15" s="4"/>
      <c r="F15" s="4" t="s">
        <v>23</v>
      </c>
      <c r="G15" s="12">
        <f>SUMIF(Ventas!$G:$G,F15,Ventas!$H:$H)</f>
        <v>128355</v>
      </c>
      <c r="H15" s="4"/>
      <c r="I15" s="4"/>
      <c r="J15" s="4"/>
      <c r="K15" s="4"/>
      <c r="L15" s="4"/>
    </row>
    <row r="16">
      <c r="A16" s="4" t="s">
        <v>24</v>
      </c>
      <c r="B16" s="12">
        <f>SUMIF(Ventas!$C:$C,A16,Ventas!$H:$H)</f>
        <v>272802.5</v>
      </c>
      <c r="C16" s="12">
        <f>SUMIF(Ventas!$C:$C,A16,Ventas!$J:$J)</f>
        <v>60532.5</v>
      </c>
      <c r="D16" s="4">
        <f>COUNTIF(Pedidos!$D:$D,A16)</f>
        <v>2</v>
      </c>
      <c r="E16" s="4"/>
      <c r="F16" s="4" t="s">
        <v>25</v>
      </c>
      <c r="G16" s="12">
        <f>SUMIF(Ventas!$G:$G,F16,Ventas!$H:$H)</f>
        <v>114810</v>
      </c>
      <c r="H16" s="4"/>
      <c r="I16" s="4"/>
      <c r="J16" s="4"/>
      <c r="K16" s="4"/>
      <c r="L16" s="4"/>
    </row>
    <row r="17">
      <c r="A17" s="4" t="s">
        <v>26</v>
      </c>
      <c r="B17" s="12">
        <f>SUMIF(Ventas!$C:$C,A17,Ventas!$H:$H)</f>
        <v>470514</v>
      </c>
      <c r="C17" s="12">
        <f>SUMIF(Ventas!$C:$C,A17,Ventas!$J:$J)</f>
        <v>84564</v>
      </c>
      <c r="D17" s="4">
        <f>COUNTIF(Pedidos!$D:$D,A17)</f>
        <v>2</v>
      </c>
      <c r="E17" s="4"/>
      <c r="F17" s="4" t="s">
        <v>27</v>
      </c>
      <c r="G17" s="12">
        <f>SUMIF(Ventas!$G:$G,F17,Ventas!$H:$H)</f>
        <v>83661</v>
      </c>
      <c r="H17" s="4"/>
      <c r="I17" s="4"/>
      <c r="J17" s="4"/>
      <c r="K17" s="4"/>
      <c r="L17" s="4"/>
    </row>
    <row r="18">
      <c r="A18" s="4" t="s">
        <v>28</v>
      </c>
      <c r="B18" s="12">
        <f>SUMIF(Ventas!$C:$C,A18,Ventas!$H:$H)</f>
        <v>0</v>
      </c>
      <c r="C18" s="12">
        <f>SUMIF(Ventas!$C:$C,A18,Ventas!$J:$J)</f>
        <v>0</v>
      </c>
      <c r="D18" s="4">
        <f>COUNTIF(Pedidos!$D:$D,A18)</f>
        <v>0</v>
      </c>
      <c r="E18" s="4"/>
      <c r="F18" s="4" t="s">
        <v>29</v>
      </c>
      <c r="G18" s="12">
        <f>SUMIF(Ventas!$G:$G,F18,Ventas!$H:$H)</f>
        <v>276408</v>
      </c>
      <c r="H18" s="4"/>
      <c r="I18" s="4"/>
      <c r="J18" s="4"/>
      <c r="K18" s="4"/>
      <c r="L18" s="4"/>
    </row>
    <row r="19">
      <c r="A19" s="4" t="s">
        <v>30</v>
      </c>
      <c r="B19" s="12">
        <f>SUMIF(Ventas!$C:$C,A19,Ventas!$H:$H)</f>
        <v>115450</v>
      </c>
      <c r="C19" s="12">
        <f>SUMIF(Ventas!$C:$C,A19,Ventas!$J:$J)</f>
        <v>18100</v>
      </c>
      <c r="D19" s="4">
        <f>COUNTIF(Pedidos!$D:$D,A19)</f>
        <v>1</v>
      </c>
      <c r="E19" s="4"/>
      <c r="F19" s="4" t="s">
        <v>31</v>
      </c>
      <c r="G19" s="12">
        <f>SUMIF(Ventas!$G:$G,F19,Ventas!$H:$H)</f>
        <v>483000</v>
      </c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 t="s">
        <v>32</v>
      </c>
      <c r="G20" s="12">
        <f>SUMIF(Ventas!$G:$G,F20,Ventas!$H:$H)</f>
        <v>1334560</v>
      </c>
      <c r="H20" s="4"/>
      <c r="I20" s="4"/>
      <c r="J20" s="4"/>
      <c r="K20" s="4"/>
      <c r="L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12.0"/>
    <col customWidth="1" min="4" max="4" width="16.0"/>
    <col customWidth="1" min="5" max="7" width="14.0"/>
    <col customWidth="1" min="8" max="26" width="8.71"/>
  </cols>
  <sheetData>
    <row r="1" ht="27.75" customHeight="1">
      <c r="A1" s="1" t="s">
        <v>33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>
      <c r="A3" s="13" t="s">
        <v>34</v>
      </c>
      <c r="B3" s="4"/>
      <c r="C3" s="14" t="s">
        <v>35</v>
      </c>
      <c r="D3" s="4"/>
      <c r="E3" s="4"/>
      <c r="F3" s="4"/>
      <c r="G3" s="4"/>
      <c r="H3" s="4"/>
      <c r="I3" s="4"/>
      <c r="J3" s="4"/>
    </row>
    <row r="4">
      <c r="A4" s="13" t="s">
        <v>36</v>
      </c>
      <c r="B4" s="4"/>
      <c r="C4" s="15">
        <f>TODAY()</f>
        <v>46156</v>
      </c>
      <c r="D4" s="4"/>
      <c r="E4" s="4"/>
      <c r="F4" s="4"/>
      <c r="G4" s="4"/>
      <c r="H4" s="4"/>
      <c r="I4" s="4"/>
      <c r="J4" s="4"/>
    </row>
    <row r="5">
      <c r="A5" s="13" t="s">
        <v>37</v>
      </c>
      <c r="B5" s="4"/>
      <c r="C5" s="14"/>
      <c r="D5" s="4"/>
      <c r="E5" s="4"/>
      <c r="F5" s="4"/>
      <c r="G5" s="4"/>
      <c r="H5" s="4"/>
      <c r="I5" s="4"/>
      <c r="J5" s="4"/>
    </row>
    <row r="6">
      <c r="A6" s="13" t="s">
        <v>13</v>
      </c>
      <c r="B6" s="4"/>
      <c r="C6" s="4" t="str">
        <f>IFERROR(VLOOKUP(C5,Clientes!$B:$T,6,FALSE),"")</f>
        <v/>
      </c>
      <c r="D6" s="4"/>
      <c r="E6" s="4"/>
      <c r="F6" s="4"/>
      <c r="G6" s="4"/>
      <c r="H6" s="4"/>
      <c r="I6" s="4"/>
      <c r="J6" s="4"/>
    </row>
    <row r="7">
      <c r="A7" s="13" t="s">
        <v>38</v>
      </c>
      <c r="B7" s="4"/>
      <c r="C7" s="4" t="str">
        <f>IFERROR(VLOOKUP(C5,Clientes!$B:$T,5,FALSE),"")</f>
        <v/>
      </c>
      <c r="D7" s="4"/>
      <c r="E7" s="4"/>
      <c r="F7" s="4"/>
      <c r="G7" s="4"/>
      <c r="H7" s="4"/>
      <c r="I7" s="4"/>
      <c r="J7" s="4"/>
    </row>
    <row r="8">
      <c r="A8" s="13" t="s">
        <v>39</v>
      </c>
      <c r="B8" s="4"/>
      <c r="C8" s="14" t="s">
        <v>40</v>
      </c>
      <c r="D8" s="4"/>
      <c r="E8" s="4"/>
      <c r="F8" s="4"/>
      <c r="G8" s="4"/>
      <c r="H8" s="4"/>
      <c r="I8" s="4"/>
      <c r="J8" s="4"/>
    </row>
    <row r="9">
      <c r="A9" s="13" t="s">
        <v>41</v>
      </c>
      <c r="B9" s="4"/>
      <c r="C9" s="14" t="s">
        <v>42</v>
      </c>
      <c r="D9" s="4"/>
      <c r="E9" s="4"/>
      <c r="F9" s="4"/>
      <c r="G9" s="4"/>
      <c r="H9" s="4"/>
      <c r="I9" s="4"/>
      <c r="J9" s="4"/>
    </row>
    <row r="10">
      <c r="A10" s="13" t="s">
        <v>43</v>
      </c>
      <c r="B10" s="4"/>
      <c r="C10" s="14" t="s">
        <v>44</v>
      </c>
      <c r="D10" s="4"/>
      <c r="E10" s="4"/>
      <c r="F10" s="4"/>
      <c r="G10" s="4"/>
      <c r="H10" s="4"/>
      <c r="I10" s="4"/>
      <c r="J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>
      <c r="A13" s="11" t="s">
        <v>45</v>
      </c>
      <c r="B13" s="11" t="s">
        <v>17</v>
      </c>
      <c r="C13" s="11" t="s">
        <v>46</v>
      </c>
      <c r="D13" s="11" t="s">
        <v>47</v>
      </c>
      <c r="E13" s="11" t="s">
        <v>48</v>
      </c>
      <c r="F13" s="11" t="s">
        <v>49</v>
      </c>
      <c r="G13" s="11" t="s">
        <v>15</v>
      </c>
      <c r="H13" s="4"/>
      <c r="I13" s="4"/>
      <c r="J13" s="4"/>
    </row>
    <row r="14">
      <c r="A14" s="4"/>
      <c r="B14" s="4" t="str">
        <f>IFERROR(VLOOKUP(A14,Productos!$A:$P,4,FALSE),"")</f>
        <v/>
      </c>
      <c r="C14" s="4"/>
      <c r="D14" s="12" t="str">
        <f>IFERROR(IF(C14&gt;=300,VLOOKUP(A14,Lista_Precios!$A:$L,10,FALSE),IF(C14&gt;=100,VLOOKUP(A14,Lista_Precios!$A:$L,9,FALSE),IF(C14&gt;=50,VLOOKUP(A14,Lista_Precios!$A:$L,8,FALSE),IF(C14&gt;=30,VLOOKUP(A14,Lista_Precios!$A:$L,7,FALSE),IF(C14&gt;=10,VLOOKUP(A14,Lista_Precios!$A:$L,6,FALSE),VLOOKUP(A14,Lista_Precios!$A:$L,5,FALSE)))))),"")</f>
        <v/>
      </c>
      <c r="E14" s="12">
        <f t="shared" ref="E14:E33" si="1">IFERROR(C14*D14,"")</f>
        <v>0</v>
      </c>
      <c r="F14" s="12" t="str">
        <f>IFERROR(VLOOKUP(A14,Productos!$A:$P,9,FALSE),"")</f>
        <v/>
      </c>
      <c r="G14" s="12">
        <f t="shared" ref="G14:G33" si="2">IFERROR(E14-(C14*F14),"")</f>
        <v>0</v>
      </c>
      <c r="H14" s="4"/>
      <c r="I14" s="4"/>
      <c r="J14" s="4"/>
    </row>
    <row r="15">
      <c r="A15" s="4"/>
      <c r="B15" s="4" t="str">
        <f>IFERROR(VLOOKUP(A15,Productos!$A:$P,4,FALSE),"")</f>
        <v/>
      </c>
      <c r="C15" s="4"/>
      <c r="D15" s="12" t="str">
        <f>IFERROR(IF(C15&gt;=300,VLOOKUP(A15,Lista_Precios!$A:$L,10,FALSE),IF(C15&gt;=100,VLOOKUP(A15,Lista_Precios!$A:$L,9,FALSE),IF(C15&gt;=50,VLOOKUP(A15,Lista_Precios!$A:$L,8,FALSE),IF(C15&gt;=30,VLOOKUP(A15,Lista_Precios!$A:$L,7,FALSE),IF(C15&gt;=10,VLOOKUP(A15,Lista_Precios!$A:$L,6,FALSE),VLOOKUP(A15,Lista_Precios!$A:$L,5,FALSE)))))),"")</f>
        <v/>
      </c>
      <c r="E15" s="12">
        <f t="shared" si="1"/>
        <v>0</v>
      </c>
      <c r="F15" s="12" t="str">
        <f>IFERROR(VLOOKUP(A15,Productos!$A:$P,9,FALSE),"")</f>
        <v/>
      </c>
      <c r="G15" s="12">
        <f t="shared" si="2"/>
        <v>0</v>
      </c>
      <c r="H15" s="4"/>
      <c r="I15" s="4"/>
      <c r="J15" s="4"/>
    </row>
    <row r="16">
      <c r="A16" s="4"/>
      <c r="B16" s="4" t="str">
        <f>IFERROR(VLOOKUP(A16,Productos!$A:$P,4,FALSE),"")</f>
        <v/>
      </c>
      <c r="C16" s="4"/>
      <c r="D16" s="12" t="str">
        <f>IFERROR(IF(C16&gt;=300,VLOOKUP(A16,Lista_Precios!$A:$L,10,FALSE),IF(C16&gt;=100,VLOOKUP(A16,Lista_Precios!$A:$L,9,FALSE),IF(C16&gt;=50,VLOOKUP(A16,Lista_Precios!$A:$L,8,FALSE),IF(C16&gt;=30,VLOOKUP(A16,Lista_Precios!$A:$L,7,FALSE),IF(C16&gt;=10,VLOOKUP(A16,Lista_Precios!$A:$L,6,FALSE),VLOOKUP(A16,Lista_Precios!$A:$L,5,FALSE)))))),"")</f>
        <v/>
      </c>
      <c r="E16" s="12">
        <f t="shared" si="1"/>
        <v>0</v>
      </c>
      <c r="F16" s="12" t="str">
        <f>IFERROR(VLOOKUP(A16,Productos!$A:$P,9,FALSE),"")</f>
        <v/>
      </c>
      <c r="G16" s="12">
        <f t="shared" si="2"/>
        <v>0</v>
      </c>
      <c r="H16" s="4"/>
      <c r="I16" s="4"/>
      <c r="J16" s="4"/>
    </row>
    <row r="17">
      <c r="A17" s="4"/>
      <c r="B17" s="4" t="str">
        <f>IFERROR(VLOOKUP(A17,Productos!$A:$P,4,FALSE),"")</f>
        <v/>
      </c>
      <c r="C17" s="4"/>
      <c r="D17" s="12" t="str">
        <f>IFERROR(IF(C17&gt;=300,VLOOKUP(A17,Lista_Precios!$A:$L,10,FALSE),IF(C17&gt;=100,VLOOKUP(A17,Lista_Precios!$A:$L,9,FALSE),IF(C17&gt;=50,VLOOKUP(A17,Lista_Precios!$A:$L,8,FALSE),IF(C17&gt;=30,VLOOKUP(A17,Lista_Precios!$A:$L,7,FALSE),IF(C17&gt;=10,VLOOKUP(A17,Lista_Precios!$A:$L,6,FALSE),VLOOKUP(A17,Lista_Precios!$A:$L,5,FALSE)))))),"")</f>
        <v/>
      </c>
      <c r="E17" s="12">
        <f t="shared" si="1"/>
        <v>0</v>
      </c>
      <c r="F17" s="12" t="str">
        <f>IFERROR(VLOOKUP(A17,Productos!$A:$P,9,FALSE),"")</f>
        <v/>
      </c>
      <c r="G17" s="12">
        <f t="shared" si="2"/>
        <v>0</v>
      </c>
      <c r="H17" s="4"/>
      <c r="I17" s="4"/>
      <c r="J17" s="4"/>
    </row>
    <row r="18">
      <c r="A18" s="4"/>
      <c r="B18" s="4" t="str">
        <f>IFERROR(VLOOKUP(A18,Productos!$A:$P,4,FALSE),"")</f>
        <v/>
      </c>
      <c r="C18" s="4"/>
      <c r="D18" s="12" t="str">
        <f>IFERROR(IF(C18&gt;=300,VLOOKUP(A18,Lista_Precios!$A:$L,10,FALSE),IF(C18&gt;=100,VLOOKUP(A18,Lista_Precios!$A:$L,9,FALSE),IF(C18&gt;=50,VLOOKUP(A18,Lista_Precios!$A:$L,8,FALSE),IF(C18&gt;=30,VLOOKUP(A18,Lista_Precios!$A:$L,7,FALSE),IF(C18&gt;=10,VLOOKUP(A18,Lista_Precios!$A:$L,6,FALSE),VLOOKUP(A18,Lista_Precios!$A:$L,5,FALSE)))))),"")</f>
        <v/>
      </c>
      <c r="E18" s="12">
        <f t="shared" si="1"/>
        <v>0</v>
      </c>
      <c r="F18" s="12" t="str">
        <f>IFERROR(VLOOKUP(A18,Productos!$A:$P,9,FALSE),"")</f>
        <v/>
      </c>
      <c r="G18" s="12">
        <f t="shared" si="2"/>
        <v>0</v>
      </c>
      <c r="H18" s="4"/>
      <c r="I18" s="4"/>
      <c r="J18" s="4"/>
    </row>
    <row r="19">
      <c r="A19" s="4"/>
      <c r="B19" s="4" t="str">
        <f>IFERROR(VLOOKUP(A19,Productos!$A:$P,4,FALSE),"")</f>
        <v/>
      </c>
      <c r="C19" s="4"/>
      <c r="D19" s="12" t="str">
        <f>IFERROR(IF(C19&gt;=300,VLOOKUP(A19,Lista_Precios!$A:$L,10,FALSE),IF(C19&gt;=100,VLOOKUP(A19,Lista_Precios!$A:$L,9,FALSE),IF(C19&gt;=50,VLOOKUP(A19,Lista_Precios!$A:$L,8,FALSE),IF(C19&gt;=30,VLOOKUP(A19,Lista_Precios!$A:$L,7,FALSE),IF(C19&gt;=10,VLOOKUP(A19,Lista_Precios!$A:$L,6,FALSE),VLOOKUP(A19,Lista_Precios!$A:$L,5,FALSE)))))),"")</f>
        <v/>
      </c>
      <c r="E19" s="12">
        <f t="shared" si="1"/>
        <v>0</v>
      </c>
      <c r="F19" s="12" t="str">
        <f>IFERROR(VLOOKUP(A19,Productos!$A:$P,9,FALSE),"")</f>
        <v/>
      </c>
      <c r="G19" s="12">
        <f t="shared" si="2"/>
        <v>0</v>
      </c>
      <c r="H19" s="4"/>
      <c r="I19" s="4"/>
      <c r="J19" s="4"/>
    </row>
    <row r="20">
      <c r="A20" s="4"/>
      <c r="B20" s="4" t="str">
        <f>IFERROR(VLOOKUP(A20,Productos!$A:$P,4,FALSE),"")</f>
        <v/>
      </c>
      <c r="C20" s="4"/>
      <c r="D20" s="12" t="str">
        <f>IFERROR(IF(C20&gt;=300,VLOOKUP(A20,Lista_Precios!$A:$L,10,FALSE),IF(C20&gt;=100,VLOOKUP(A20,Lista_Precios!$A:$L,9,FALSE),IF(C20&gt;=50,VLOOKUP(A20,Lista_Precios!$A:$L,8,FALSE),IF(C20&gt;=30,VLOOKUP(A20,Lista_Precios!$A:$L,7,FALSE),IF(C20&gt;=10,VLOOKUP(A20,Lista_Precios!$A:$L,6,FALSE),VLOOKUP(A20,Lista_Precios!$A:$L,5,FALSE)))))),"")</f>
        <v/>
      </c>
      <c r="E20" s="12">
        <f t="shared" si="1"/>
        <v>0</v>
      </c>
      <c r="F20" s="12" t="str">
        <f>IFERROR(VLOOKUP(A20,Productos!$A:$P,9,FALSE),"")</f>
        <v/>
      </c>
      <c r="G20" s="12">
        <f t="shared" si="2"/>
        <v>0</v>
      </c>
      <c r="H20" s="4"/>
      <c r="I20" s="4"/>
      <c r="J20" s="4"/>
    </row>
    <row r="21" ht="15.75" customHeight="1">
      <c r="A21" s="4"/>
      <c r="B21" s="4" t="str">
        <f>IFERROR(VLOOKUP(A21,Productos!$A:$P,4,FALSE),"")</f>
        <v/>
      </c>
      <c r="C21" s="4"/>
      <c r="D21" s="12" t="str">
        <f>IFERROR(IF(C21&gt;=300,VLOOKUP(A21,Lista_Precios!$A:$L,10,FALSE),IF(C21&gt;=100,VLOOKUP(A21,Lista_Precios!$A:$L,9,FALSE),IF(C21&gt;=50,VLOOKUP(A21,Lista_Precios!$A:$L,8,FALSE),IF(C21&gt;=30,VLOOKUP(A21,Lista_Precios!$A:$L,7,FALSE),IF(C21&gt;=10,VLOOKUP(A21,Lista_Precios!$A:$L,6,FALSE),VLOOKUP(A21,Lista_Precios!$A:$L,5,FALSE)))))),"")</f>
        <v/>
      </c>
      <c r="E21" s="12">
        <f t="shared" si="1"/>
        <v>0</v>
      </c>
      <c r="F21" s="12" t="str">
        <f>IFERROR(VLOOKUP(A21,Productos!$A:$P,9,FALSE),"")</f>
        <v/>
      </c>
      <c r="G21" s="12">
        <f t="shared" si="2"/>
        <v>0</v>
      </c>
      <c r="H21" s="4"/>
      <c r="I21" s="4"/>
      <c r="J21" s="4"/>
    </row>
    <row r="22" ht="15.75" customHeight="1">
      <c r="A22" s="4"/>
      <c r="B22" s="4" t="str">
        <f>IFERROR(VLOOKUP(A22,Productos!$A:$P,4,FALSE),"")</f>
        <v/>
      </c>
      <c r="C22" s="4"/>
      <c r="D22" s="12" t="str">
        <f>IFERROR(IF(C22&gt;=300,VLOOKUP(A22,Lista_Precios!$A:$L,10,FALSE),IF(C22&gt;=100,VLOOKUP(A22,Lista_Precios!$A:$L,9,FALSE),IF(C22&gt;=50,VLOOKUP(A22,Lista_Precios!$A:$L,8,FALSE),IF(C22&gt;=30,VLOOKUP(A22,Lista_Precios!$A:$L,7,FALSE),IF(C22&gt;=10,VLOOKUP(A22,Lista_Precios!$A:$L,6,FALSE),VLOOKUP(A22,Lista_Precios!$A:$L,5,FALSE)))))),"")</f>
        <v/>
      </c>
      <c r="E22" s="12">
        <f t="shared" si="1"/>
        <v>0</v>
      </c>
      <c r="F22" s="12" t="str">
        <f>IFERROR(VLOOKUP(A22,Productos!$A:$P,9,FALSE),"")</f>
        <v/>
      </c>
      <c r="G22" s="12">
        <f t="shared" si="2"/>
        <v>0</v>
      </c>
      <c r="H22" s="4"/>
      <c r="I22" s="4"/>
      <c r="J22" s="4"/>
    </row>
    <row r="23" ht="15.75" customHeight="1">
      <c r="A23" s="4"/>
      <c r="B23" s="4" t="str">
        <f>IFERROR(VLOOKUP(A23,Productos!$A:$P,4,FALSE),"")</f>
        <v/>
      </c>
      <c r="C23" s="4"/>
      <c r="D23" s="12" t="str">
        <f>IFERROR(IF(C23&gt;=300,VLOOKUP(A23,Lista_Precios!$A:$L,10,FALSE),IF(C23&gt;=100,VLOOKUP(A23,Lista_Precios!$A:$L,9,FALSE),IF(C23&gt;=50,VLOOKUP(A23,Lista_Precios!$A:$L,8,FALSE),IF(C23&gt;=30,VLOOKUP(A23,Lista_Precios!$A:$L,7,FALSE),IF(C23&gt;=10,VLOOKUP(A23,Lista_Precios!$A:$L,6,FALSE),VLOOKUP(A23,Lista_Precios!$A:$L,5,FALSE)))))),"")</f>
        <v/>
      </c>
      <c r="E23" s="12">
        <f t="shared" si="1"/>
        <v>0</v>
      </c>
      <c r="F23" s="12" t="str">
        <f>IFERROR(VLOOKUP(A23,Productos!$A:$P,9,FALSE),"")</f>
        <v/>
      </c>
      <c r="G23" s="12">
        <f t="shared" si="2"/>
        <v>0</v>
      </c>
      <c r="H23" s="4"/>
      <c r="I23" s="4"/>
      <c r="J23" s="4"/>
    </row>
    <row r="24" ht="15.75" customHeight="1">
      <c r="A24" s="4"/>
      <c r="B24" s="4" t="str">
        <f>IFERROR(VLOOKUP(A24,Productos!$A:$P,4,FALSE),"")</f>
        <v/>
      </c>
      <c r="C24" s="4"/>
      <c r="D24" s="12" t="str">
        <f>IFERROR(IF(C24&gt;=300,VLOOKUP(A24,Lista_Precios!$A:$L,10,FALSE),IF(C24&gt;=100,VLOOKUP(A24,Lista_Precios!$A:$L,9,FALSE),IF(C24&gt;=50,VLOOKUP(A24,Lista_Precios!$A:$L,8,FALSE),IF(C24&gt;=30,VLOOKUP(A24,Lista_Precios!$A:$L,7,FALSE),IF(C24&gt;=10,VLOOKUP(A24,Lista_Precios!$A:$L,6,FALSE),VLOOKUP(A24,Lista_Precios!$A:$L,5,FALSE)))))),"")</f>
        <v/>
      </c>
      <c r="E24" s="12">
        <f t="shared" si="1"/>
        <v>0</v>
      </c>
      <c r="F24" s="12" t="str">
        <f>IFERROR(VLOOKUP(A24,Productos!$A:$P,9,FALSE),"")</f>
        <v/>
      </c>
      <c r="G24" s="12">
        <f t="shared" si="2"/>
        <v>0</v>
      </c>
      <c r="H24" s="4"/>
      <c r="I24" s="4"/>
      <c r="J24" s="4"/>
    </row>
    <row r="25" ht="15.75" customHeight="1">
      <c r="A25" s="4"/>
      <c r="B25" s="4" t="str">
        <f>IFERROR(VLOOKUP(A25,Productos!$A:$P,4,FALSE),"")</f>
        <v/>
      </c>
      <c r="C25" s="4"/>
      <c r="D25" s="12" t="str">
        <f>IFERROR(IF(C25&gt;=300,VLOOKUP(A25,Lista_Precios!$A:$L,10,FALSE),IF(C25&gt;=100,VLOOKUP(A25,Lista_Precios!$A:$L,9,FALSE),IF(C25&gt;=50,VLOOKUP(A25,Lista_Precios!$A:$L,8,FALSE),IF(C25&gt;=30,VLOOKUP(A25,Lista_Precios!$A:$L,7,FALSE),IF(C25&gt;=10,VLOOKUP(A25,Lista_Precios!$A:$L,6,FALSE),VLOOKUP(A25,Lista_Precios!$A:$L,5,FALSE)))))),"")</f>
        <v/>
      </c>
      <c r="E25" s="12">
        <f t="shared" si="1"/>
        <v>0</v>
      </c>
      <c r="F25" s="12" t="str">
        <f>IFERROR(VLOOKUP(A25,Productos!$A:$P,9,FALSE),"")</f>
        <v/>
      </c>
      <c r="G25" s="12">
        <f t="shared" si="2"/>
        <v>0</v>
      </c>
      <c r="H25" s="4"/>
      <c r="I25" s="4"/>
      <c r="J25" s="4"/>
    </row>
    <row r="26" ht="15.75" customHeight="1">
      <c r="A26" s="4"/>
      <c r="B26" s="4" t="str">
        <f>IFERROR(VLOOKUP(A26,Productos!$A:$P,4,FALSE),"")</f>
        <v/>
      </c>
      <c r="C26" s="4"/>
      <c r="D26" s="12" t="str">
        <f>IFERROR(IF(C26&gt;=300,VLOOKUP(A26,Lista_Precios!$A:$L,10,FALSE),IF(C26&gt;=100,VLOOKUP(A26,Lista_Precios!$A:$L,9,FALSE),IF(C26&gt;=50,VLOOKUP(A26,Lista_Precios!$A:$L,8,FALSE),IF(C26&gt;=30,VLOOKUP(A26,Lista_Precios!$A:$L,7,FALSE),IF(C26&gt;=10,VLOOKUP(A26,Lista_Precios!$A:$L,6,FALSE),VLOOKUP(A26,Lista_Precios!$A:$L,5,FALSE)))))),"")</f>
        <v/>
      </c>
      <c r="E26" s="12">
        <f t="shared" si="1"/>
        <v>0</v>
      </c>
      <c r="F26" s="12" t="str">
        <f>IFERROR(VLOOKUP(A26,Productos!$A:$P,9,FALSE),"")</f>
        <v/>
      </c>
      <c r="G26" s="12">
        <f t="shared" si="2"/>
        <v>0</v>
      </c>
      <c r="H26" s="4"/>
      <c r="I26" s="4"/>
      <c r="J26" s="4"/>
    </row>
    <row r="27" ht="15.75" customHeight="1">
      <c r="A27" s="4"/>
      <c r="B27" s="4" t="str">
        <f>IFERROR(VLOOKUP(A27,Productos!$A:$P,4,FALSE),"")</f>
        <v/>
      </c>
      <c r="C27" s="4"/>
      <c r="D27" s="12" t="str">
        <f>IFERROR(IF(C27&gt;=300,VLOOKUP(A27,Lista_Precios!$A:$L,10,FALSE),IF(C27&gt;=100,VLOOKUP(A27,Lista_Precios!$A:$L,9,FALSE),IF(C27&gt;=50,VLOOKUP(A27,Lista_Precios!$A:$L,8,FALSE),IF(C27&gt;=30,VLOOKUP(A27,Lista_Precios!$A:$L,7,FALSE),IF(C27&gt;=10,VLOOKUP(A27,Lista_Precios!$A:$L,6,FALSE),VLOOKUP(A27,Lista_Precios!$A:$L,5,FALSE)))))),"")</f>
        <v/>
      </c>
      <c r="E27" s="12">
        <f t="shared" si="1"/>
        <v>0</v>
      </c>
      <c r="F27" s="12" t="str">
        <f>IFERROR(VLOOKUP(A27,Productos!$A:$P,9,FALSE),"")</f>
        <v/>
      </c>
      <c r="G27" s="12">
        <f t="shared" si="2"/>
        <v>0</v>
      </c>
      <c r="H27" s="4"/>
      <c r="I27" s="4"/>
      <c r="J27" s="4"/>
    </row>
    <row r="28" ht="15.75" customHeight="1">
      <c r="A28" s="4"/>
      <c r="B28" s="4" t="str">
        <f>IFERROR(VLOOKUP(A28,Productos!$A:$P,4,FALSE),"")</f>
        <v/>
      </c>
      <c r="C28" s="4"/>
      <c r="D28" s="12" t="str">
        <f>IFERROR(IF(C28&gt;=300,VLOOKUP(A28,Lista_Precios!$A:$L,10,FALSE),IF(C28&gt;=100,VLOOKUP(A28,Lista_Precios!$A:$L,9,FALSE),IF(C28&gt;=50,VLOOKUP(A28,Lista_Precios!$A:$L,8,FALSE),IF(C28&gt;=30,VLOOKUP(A28,Lista_Precios!$A:$L,7,FALSE),IF(C28&gt;=10,VLOOKUP(A28,Lista_Precios!$A:$L,6,FALSE),VLOOKUP(A28,Lista_Precios!$A:$L,5,FALSE)))))),"")</f>
        <v/>
      </c>
      <c r="E28" s="12">
        <f t="shared" si="1"/>
        <v>0</v>
      </c>
      <c r="F28" s="12" t="str">
        <f>IFERROR(VLOOKUP(A28,Productos!$A:$P,9,FALSE),"")</f>
        <v/>
      </c>
      <c r="G28" s="12">
        <f t="shared" si="2"/>
        <v>0</v>
      </c>
      <c r="H28" s="4"/>
      <c r="I28" s="4"/>
      <c r="J28" s="4"/>
    </row>
    <row r="29" ht="15.75" customHeight="1">
      <c r="A29" s="4"/>
      <c r="B29" s="4" t="str">
        <f>IFERROR(VLOOKUP(A29,Productos!$A:$P,4,FALSE),"")</f>
        <v/>
      </c>
      <c r="C29" s="4"/>
      <c r="D29" s="12" t="str">
        <f>IFERROR(IF(C29&gt;=300,VLOOKUP(A29,Lista_Precios!$A:$L,10,FALSE),IF(C29&gt;=100,VLOOKUP(A29,Lista_Precios!$A:$L,9,FALSE),IF(C29&gt;=50,VLOOKUP(A29,Lista_Precios!$A:$L,8,FALSE),IF(C29&gt;=30,VLOOKUP(A29,Lista_Precios!$A:$L,7,FALSE),IF(C29&gt;=10,VLOOKUP(A29,Lista_Precios!$A:$L,6,FALSE),VLOOKUP(A29,Lista_Precios!$A:$L,5,FALSE)))))),"")</f>
        <v/>
      </c>
      <c r="E29" s="12">
        <f t="shared" si="1"/>
        <v>0</v>
      </c>
      <c r="F29" s="12" t="str">
        <f>IFERROR(VLOOKUP(A29,Productos!$A:$P,9,FALSE),"")</f>
        <v/>
      </c>
      <c r="G29" s="12">
        <f t="shared" si="2"/>
        <v>0</v>
      </c>
      <c r="H29" s="4"/>
      <c r="I29" s="4"/>
      <c r="J29" s="4"/>
    </row>
    <row r="30" ht="15.75" customHeight="1">
      <c r="A30" s="4"/>
      <c r="B30" s="4" t="str">
        <f>IFERROR(VLOOKUP(A30,Productos!$A:$P,4,FALSE),"")</f>
        <v/>
      </c>
      <c r="C30" s="4"/>
      <c r="D30" s="12" t="str">
        <f>IFERROR(IF(C30&gt;=300,VLOOKUP(A30,Lista_Precios!$A:$L,10,FALSE),IF(C30&gt;=100,VLOOKUP(A30,Lista_Precios!$A:$L,9,FALSE),IF(C30&gt;=50,VLOOKUP(A30,Lista_Precios!$A:$L,8,FALSE),IF(C30&gt;=30,VLOOKUP(A30,Lista_Precios!$A:$L,7,FALSE),IF(C30&gt;=10,VLOOKUP(A30,Lista_Precios!$A:$L,6,FALSE),VLOOKUP(A30,Lista_Precios!$A:$L,5,FALSE)))))),"")</f>
        <v/>
      </c>
      <c r="E30" s="12">
        <f t="shared" si="1"/>
        <v>0</v>
      </c>
      <c r="F30" s="12" t="str">
        <f>IFERROR(VLOOKUP(A30,Productos!$A:$P,9,FALSE),"")</f>
        <v/>
      </c>
      <c r="G30" s="12">
        <f t="shared" si="2"/>
        <v>0</v>
      </c>
      <c r="H30" s="4"/>
      <c r="I30" s="4"/>
      <c r="J30" s="4"/>
    </row>
    <row r="31" ht="15.75" customHeight="1">
      <c r="A31" s="4"/>
      <c r="B31" s="4" t="str">
        <f>IFERROR(VLOOKUP(A31,Productos!$A:$P,4,FALSE),"")</f>
        <v/>
      </c>
      <c r="C31" s="4"/>
      <c r="D31" s="12" t="str">
        <f>IFERROR(IF(C31&gt;=300,VLOOKUP(A31,Lista_Precios!$A:$L,10,FALSE),IF(C31&gt;=100,VLOOKUP(A31,Lista_Precios!$A:$L,9,FALSE),IF(C31&gt;=50,VLOOKUP(A31,Lista_Precios!$A:$L,8,FALSE),IF(C31&gt;=30,VLOOKUP(A31,Lista_Precios!$A:$L,7,FALSE),IF(C31&gt;=10,VLOOKUP(A31,Lista_Precios!$A:$L,6,FALSE),VLOOKUP(A31,Lista_Precios!$A:$L,5,FALSE)))))),"")</f>
        <v/>
      </c>
      <c r="E31" s="12">
        <f t="shared" si="1"/>
        <v>0</v>
      </c>
      <c r="F31" s="12" t="str">
        <f>IFERROR(VLOOKUP(A31,Productos!$A:$P,9,FALSE),"")</f>
        <v/>
      </c>
      <c r="G31" s="12">
        <f t="shared" si="2"/>
        <v>0</v>
      </c>
      <c r="H31" s="4"/>
      <c r="I31" s="4"/>
      <c r="J31" s="4"/>
    </row>
    <row r="32" ht="15.75" customHeight="1">
      <c r="A32" s="4"/>
      <c r="B32" s="4" t="str">
        <f>IFERROR(VLOOKUP(A32,Productos!$A:$P,4,FALSE),"")</f>
        <v/>
      </c>
      <c r="C32" s="4"/>
      <c r="D32" s="12" t="str">
        <f>IFERROR(IF(C32&gt;=300,VLOOKUP(A32,Lista_Precios!$A:$L,10,FALSE),IF(C32&gt;=100,VLOOKUP(A32,Lista_Precios!$A:$L,9,FALSE),IF(C32&gt;=50,VLOOKUP(A32,Lista_Precios!$A:$L,8,FALSE),IF(C32&gt;=30,VLOOKUP(A32,Lista_Precios!$A:$L,7,FALSE),IF(C32&gt;=10,VLOOKUP(A32,Lista_Precios!$A:$L,6,FALSE),VLOOKUP(A32,Lista_Precios!$A:$L,5,FALSE)))))),"")</f>
        <v/>
      </c>
      <c r="E32" s="12">
        <f t="shared" si="1"/>
        <v>0</v>
      </c>
      <c r="F32" s="12" t="str">
        <f>IFERROR(VLOOKUP(A32,Productos!$A:$P,9,FALSE),"")</f>
        <v/>
      </c>
      <c r="G32" s="12">
        <f t="shared" si="2"/>
        <v>0</v>
      </c>
      <c r="H32" s="4"/>
      <c r="I32" s="4"/>
      <c r="J32" s="4"/>
    </row>
    <row r="33" ht="15.75" customHeight="1">
      <c r="A33" s="4"/>
      <c r="B33" s="4" t="str">
        <f>IFERROR(VLOOKUP(A33,Productos!$A:$P,4,FALSE),"")</f>
        <v/>
      </c>
      <c r="C33" s="4"/>
      <c r="D33" s="12" t="str">
        <f>IFERROR(IF(C33&gt;=300,VLOOKUP(A33,Lista_Precios!$A:$L,10,FALSE),IF(C33&gt;=100,VLOOKUP(A33,Lista_Precios!$A:$L,9,FALSE),IF(C33&gt;=50,VLOOKUP(A33,Lista_Precios!$A:$L,8,FALSE),IF(C33&gt;=30,VLOOKUP(A33,Lista_Precios!$A:$L,7,FALSE),IF(C33&gt;=10,VLOOKUP(A33,Lista_Precios!$A:$L,6,FALSE),VLOOKUP(A33,Lista_Precios!$A:$L,5,FALSE)))))),"")</f>
        <v/>
      </c>
      <c r="E33" s="12">
        <f t="shared" si="1"/>
        <v>0</v>
      </c>
      <c r="F33" s="12" t="str">
        <f>IFERROR(VLOOKUP(A33,Productos!$A:$P,9,FALSE),"")</f>
        <v/>
      </c>
      <c r="G33" s="12">
        <f t="shared" si="2"/>
        <v>0</v>
      </c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16" t="s">
        <v>50</v>
      </c>
      <c r="E36" s="17">
        <f>SUM(E14:E33)</f>
        <v>0</v>
      </c>
      <c r="F36" s="16" t="s">
        <v>51</v>
      </c>
      <c r="G36" s="17">
        <f>SUM(G14:G33)</f>
        <v>0</v>
      </c>
      <c r="H36" s="4"/>
      <c r="I36" s="4"/>
      <c r="J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6.0"/>
    <col customWidth="1" min="4" max="4" width="18.0"/>
    <col customWidth="1" min="5" max="5" width="28.0"/>
    <col customWidth="1" min="6" max="6" width="18.0"/>
    <col customWidth="1" min="7" max="7" width="16.0"/>
    <col customWidth="1" min="8" max="8" width="18.0"/>
    <col customWidth="1" min="9" max="9" width="16.0"/>
    <col customWidth="1" min="10" max="13" width="18.0"/>
    <col customWidth="1" min="14" max="14" width="12.0"/>
    <col customWidth="1" min="15" max="15" width="14.0"/>
    <col customWidth="1" min="16" max="16" width="12.0"/>
    <col customWidth="1" min="17" max="17" width="26.0"/>
    <col customWidth="1" min="18" max="19" width="16.0"/>
    <col customWidth="1" min="20" max="20" width="14.0"/>
    <col customWidth="1" min="21" max="26" width="8.71"/>
  </cols>
  <sheetData>
    <row r="1" ht="27.75" customHeight="1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0.0" customHeight="1">
      <c r="A2" s="18" t="s">
        <v>53</v>
      </c>
      <c r="B2" s="18" t="s">
        <v>54</v>
      </c>
      <c r="C2" s="18" t="s">
        <v>55</v>
      </c>
      <c r="D2" s="18" t="s">
        <v>56</v>
      </c>
      <c r="E2" s="18" t="s">
        <v>57</v>
      </c>
      <c r="F2" s="18" t="s">
        <v>38</v>
      </c>
      <c r="G2" s="18" t="s">
        <v>58</v>
      </c>
      <c r="H2" s="18" t="s">
        <v>59</v>
      </c>
      <c r="I2" s="18" t="s">
        <v>60</v>
      </c>
      <c r="J2" s="18" t="s">
        <v>61</v>
      </c>
      <c r="K2" s="18" t="s">
        <v>62</v>
      </c>
      <c r="L2" s="18" t="s">
        <v>63</v>
      </c>
      <c r="M2" s="18" t="s">
        <v>64</v>
      </c>
      <c r="N2" s="18" t="s">
        <v>65</v>
      </c>
      <c r="O2" s="18" t="s">
        <v>66</v>
      </c>
      <c r="P2" s="18" t="s">
        <v>43</v>
      </c>
      <c r="Q2" s="18" t="s">
        <v>67</v>
      </c>
      <c r="R2" s="18" t="s">
        <v>68</v>
      </c>
      <c r="S2" s="18" t="s">
        <v>69</v>
      </c>
      <c r="T2" s="18" t="s">
        <v>70</v>
      </c>
    </row>
    <row r="3">
      <c r="A3" s="19" t="s">
        <v>71</v>
      </c>
      <c r="B3" s="20" t="s">
        <v>72</v>
      </c>
      <c r="C3" s="20" t="s">
        <v>73</v>
      </c>
      <c r="D3" s="20" t="s">
        <v>74</v>
      </c>
      <c r="E3" s="20" t="s">
        <v>75</v>
      </c>
      <c r="F3" s="20" t="s">
        <v>76</v>
      </c>
      <c r="G3" s="19" t="s">
        <v>18</v>
      </c>
      <c r="H3" s="20" t="s">
        <v>77</v>
      </c>
      <c r="I3" s="19">
        <f>56994047734</f>
        <v>56994047734</v>
      </c>
      <c r="J3" s="19"/>
      <c r="K3" s="19" t="s">
        <v>78</v>
      </c>
      <c r="L3" s="19" t="s">
        <v>79</v>
      </c>
      <c r="M3" s="21">
        <v>0.0</v>
      </c>
      <c r="N3" s="20" t="s">
        <v>80</v>
      </c>
      <c r="O3" s="22">
        <v>0.0</v>
      </c>
      <c r="P3" s="19" t="s">
        <v>81</v>
      </c>
      <c r="Q3" s="19" t="s">
        <v>82</v>
      </c>
      <c r="R3" s="22">
        <f>SUMIF(Ventas!$B:$B,B3,Ventas!$H:$H)</f>
        <v>0</v>
      </c>
      <c r="S3" s="23">
        <f t="shared" ref="S3:S14" si="1">IF(M3&gt;0,R3/M3,0)</f>
        <v>0</v>
      </c>
      <c r="T3" s="20">
        <v>0.0</v>
      </c>
    </row>
    <row r="4">
      <c r="A4" s="19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76</v>
      </c>
      <c r="G4" s="19" t="s">
        <v>18</v>
      </c>
      <c r="H4" s="19" t="s">
        <v>88</v>
      </c>
      <c r="I4" s="19" t="s">
        <v>89</v>
      </c>
      <c r="J4" s="19"/>
      <c r="K4" s="19" t="s">
        <v>78</v>
      </c>
      <c r="L4" s="19" t="s">
        <v>79</v>
      </c>
      <c r="M4" s="22">
        <v>320000.0</v>
      </c>
      <c r="N4" s="19" t="s">
        <v>90</v>
      </c>
      <c r="O4" s="22">
        <v>0.0</v>
      </c>
      <c r="P4" s="19" t="s">
        <v>81</v>
      </c>
      <c r="Q4" s="19" t="s">
        <v>91</v>
      </c>
      <c r="R4" s="22">
        <f>SUMIF(Ventas!$B:$B,B4,Ventas!$H:$H)</f>
        <v>1177833.5</v>
      </c>
      <c r="S4" s="23">
        <f t="shared" si="1"/>
        <v>3.680729688</v>
      </c>
      <c r="T4" s="24">
        <f>MAXIFS(Ventas!$A:$A,Ventas!$B:$B,B4)</f>
        <v>46151</v>
      </c>
    </row>
    <row r="5">
      <c r="A5" s="19" t="s">
        <v>92</v>
      </c>
      <c r="B5" s="19" t="s">
        <v>93</v>
      </c>
      <c r="C5" s="19" t="s">
        <v>94</v>
      </c>
      <c r="D5" s="19" t="s">
        <v>95</v>
      </c>
      <c r="E5" s="19" t="s">
        <v>96</v>
      </c>
      <c r="F5" s="19" t="s">
        <v>97</v>
      </c>
      <c r="G5" s="19" t="s">
        <v>20</v>
      </c>
      <c r="H5" s="19" t="s">
        <v>98</v>
      </c>
      <c r="I5" s="19" t="s">
        <v>99</v>
      </c>
      <c r="J5" s="19" t="s">
        <v>100</v>
      </c>
      <c r="K5" s="19" t="s">
        <v>101</v>
      </c>
      <c r="L5" s="19" t="s">
        <v>95</v>
      </c>
      <c r="M5" s="22">
        <v>280000.0</v>
      </c>
      <c r="N5" s="19" t="s">
        <v>102</v>
      </c>
      <c r="O5" s="22">
        <v>45000.0</v>
      </c>
      <c r="P5" s="19" t="s">
        <v>81</v>
      </c>
      <c r="Q5" s="19" t="s">
        <v>103</v>
      </c>
      <c r="R5" s="22">
        <f>SUMIF(Ventas!$B:$B,B5,Ventas!$H:$H)</f>
        <v>464247.5</v>
      </c>
      <c r="S5" s="23">
        <f t="shared" si="1"/>
        <v>1.658026786</v>
      </c>
      <c r="T5" s="24">
        <f>MAXIFS(Ventas!$A:$A,Ventas!$B:$B,B5)</f>
        <v>46150</v>
      </c>
    </row>
    <row r="6">
      <c r="A6" s="19" t="s">
        <v>104</v>
      </c>
      <c r="B6" s="19" t="s">
        <v>105</v>
      </c>
      <c r="C6" s="19" t="s">
        <v>106</v>
      </c>
      <c r="D6" s="19" t="s">
        <v>107</v>
      </c>
      <c r="E6" s="19" t="s">
        <v>108</v>
      </c>
      <c r="F6" s="19" t="s">
        <v>109</v>
      </c>
      <c r="G6" s="19" t="s">
        <v>20</v>
      </c>
      <c r="H6" s="19" t="s">
        <v>110</v>
      </c>
      <c r="I6" s="19" t="s">
        <v>111</v>
      </c>
      <c r="J6" s="19" t="s">
        <v>112</v>
      </c>
      <c r="K6" s="19" t="s">
        <v>78</v>
      </c>
      <c r="L6" s="19" t="s">
        <v>107</v>
      </c>
      <c r="M6" s="22">
        <v>520000.0</v>
      </c>
      <c r="N6" s="19" t="s">
        <v>102</v>
      </c>
      <c r="O6" s="22">
        <v>0.0</v>
      </c>
      <c r="P6" s="19" t="s">
        <v>81</v>
      </c>
      <c r="Q6" s="19" t="s">
        <v>113</v>
      </c>
      <c r="R6" s="22">
        <f>SUMIF(Ventas!$B:$B,B6,Ventas!$H:$H)</f>
        <v>971207.5</v>
      </c>
      <c r="S6" s="23">
        <f t="shared" si="1"/>
        <v>1.867706731</v>
      </c>
      <c r="T6" s="24">
        <f>MAXIFS(Ventas!$A:$A,Ventas!$B:$B,B6)</f>
        <v>46155</v>
      </c>
    </row>
    <row r="7">
      <c r="A7" s="19" t="s">
        <v>114</v>
      </c>
      <c r="B7" s="19" t="s">
        <v>115</v>
      </c>
      <c r="C7" s="19" t="s">
        <v>116</v>
      </c>
      <c r="D7" s="19" t="s">
        <v>117</v>
      </c>
      <c r="E7" s="19" t="s">
        <v>118</v>
      </c>
      <c r="F7" s="19" t="s">
        <v>109</v>
      </c>
      <c r="G7" s="19" t="s">
        <v>18</v>
      </c>
      <c r="H7" s="19" t="s">
        <v>119</v>
      </c>
      <c r="I7" s="19" t="s">
        <v>120</v>
      </c>
      <c r="J7" s="19"/>
      <c r="K7" s="19" t="s">
        <v>78</v>
      </c>
      <c r="L7" s="19" t="s">
        <v>121</v>
      </c>
      <c r="M7" s="22">
        <v>900000.0</v>
      </c>
      <c r="N7" s="19" t="s">
        <v>102</v>
      </c>
      <c r="O7" s="22">
        <v>120000.0</v>
      </c>
      <c r="P7" s="19" t="s">
        <v>81</v>
      </c>
      <c r="Q7" s="19" t="s">
        <v>122</v>
      </c>
      <c r="R7" s="22">
        <f>SUMIF(Ventas!$B:$B,B7,Ventas!$H:$H)</f>
        <v>0</v>
      </c>
      <c r="S7" s="23">
        <f t="shared" si="1"/>
        <v>0</v>
      </c>
      <c r="T7" s="24">
        <f>MAXIFS(Ventas!$A:$A,Ventas!$B:$B,B7)</f>
        <v>0</v>
      </c>
    </row>
    <row r="8">
      <c r="A8" s="19" t="s">
        <v>123</v>
      </c>
      <c r="B8" s="19" t="s">
        <v>124</v>
      </c>
      <c r="C8" s="19" t="s">
        <v>125</v>
      </c>
      <c r="D8" s="19" t="s">
        <v>126</v>
      </c>
      <c r="E8" s="19" t="s">
        <v>127</v>
      </c>
      <c r="F8" s="19" t="s">
        <v>109</v>
      </c>
      <c r="G8" s="19" t="s">
        <v>18</v>
      </c>
      <c r="H8" s="19" t="s">
        <v>128</v>
      </c>
      <c r="I8" s="19" t="s">
        <v>129</v>
      </c>
      <c r="J8" s="19" t="s">
        <v>130</v>
      </c>
      <c r="K8" s="19" t="s">
        <v>131</v>
      </c>
      <c r="L8" s="19" t="s">
        <v>132</v>
      </c>
      <c r="M8" s="22">
        <v>190000.0</v>
      </c>
      <c r="N8" s="19" t="s">
        <v>90</v>
      </c>
      <c r="O8" s="22">
        <v>0.0</v>
      </c>
      <c r="P8" s="19" t="s">
        <v>81</v>
      </c>
      <c r="Q8" s="19" t="s">
        <v>133</v>
      </c>
      <c r="R8" s="22">
        <f>SUMIF(Ventas!$B:$B,B8,Ventas!$H:$H)</f>
        <v>86286</v>
      </c>
      <c r="S8" s="23">
        <f t="shared" si="1"/>
        <v>0.4541368421</v>
      </c>
      <c r="T8" s="24">
        <f>MAXIFS(Ventas!$A:$A,Ventas!$B:$B,B8)</f>
        <v>46145</v>
      </c>
    </row>
    <row r="9">
      <c r="A9" s="19" t="s">
        <v>134</v>
      </c>
      <c r="B9" s="19" t="s">
        <v>135</v>
      </c>
      <c r="C9" s="19" t="s">
        <v>136</v>
      </c>
      <c r="D9" s="19" t="s">
        <v>137</v>
      </c>
      <c r="E9" s="19" t="s">
        <v>138</v>
      </c>
      <c r="F9" s="19" t="s">
        <v>139</v>
      </c>
      <c r="G9" s="19" t="s">
        <v>22</v>
      </c>
      <c r="H9" s="19" t="s">
        <v>140</v>
      </c>
      <c r="I9" s="19" t="s">
        <v>141</v>
      </c>
      <c r="J9" s="19"/>
      <c r="K9" s="19" t="s">
        <v>78</v>
      </c>
      <c r="L9" s="19" t="s">
        <v>137</v>
      </c>
      <c r="M9" s="22">
        <v>260000.0</v>
      </c>
      <c r="N9" s="19" t="s">
        <v>90</v>
      </c>
      <c r="O9" s="22">
        <v>0.0</v>
      </c>
      <c r="P9" s="19" t="s">
        <v>81</v>
      </c>
      <c r="Q9" s="19" t="s">
        <v>142</v>
      </c>
      <c r="R9" s="22">
        <f>SUMIF(Ventas!$B:$B,B9,Ventas!$H:$H)</f>
        <v>650176</v>
      </c>
      <c r="S9" s="23">
        <f t="shared" si="1"/>
        <v>2.500676923</v>
      </c>
      <c r="T9" s="24">
        <f>MAXIFS(Ventas!$A:$A,Ventas!$B:$B,B9)</f>
        <v>46149</v>
      </c>
    </row>
    <row r="10">
      <c r="A10" s="19" t="s">
        <v>143</v>
      </c>
      <c r="B10" s="19" t="s">
        <v>144</v>
      </c>
      <c r="C10" s="19" t="s">
        <v>145</v>
      </c>
      <c r="D10" s="19" t="s">
        <v>146</v>
      </c>
      <c r="E10" s="19" t="s">
        <v>147</v>
      </c>
      <c r="F10" s="19" t="s">
        <v>148</v>
      </c>
      <c r="G10" s="19" t="s">
        <v>20</v>
      </c>
      <c r="H10" s="19" t="s">
        <v>149</v>
      </c>
      <c r="I10" s="19" t="s">
        <v>150</v>
      </c>
      <c r="J10" s="19" t="s">
        <v>151</v>
      </c>
      <c r="K10" s="19" t="s">
        <v>101</v>
      </c>
      <c r="L10" s="19" t="s">
        <v>146</v>
      </c>
      <c r="M10" s="22">
        <v>300000.0</v>
      </c>
      <c r="N10" s="19" t="s">
        <v>102</v>
      </c>
      <c r="O10" s="22">
        <v>0.0</v>
      </c>
      <c r="P10" s="19" t="s">
        <v>81</v>
      </c>
      <c r="Q10" s="19" t="s">
        <v>152</v>
      </c>
      <c r="R10" s="22">
        <f>SUMIF(Ventas!$B:$B,B10,Ventas!$H:$H)</f>
        <v>770357.5</v>
      </c>
      <c r="S10" s="23">
        <f t="shared" si="1"/>
        <v>2.567858333</v>
      </c>
      <c r="T10" s="24">
        <f>MAXIFS(Ventas!$A:$A,Ventas!$B:$B,B10)</f>
        <v>46154</v>
      </c>
    </row>
    <row r="11">
      <c r="A11" s="19" t="s">
        <v>153</v>
      </c>
      <c r="B11" s="19" t="s">
        <v>154</v>
      </c>
      <c r="C11" s="19" t="s">
        <v>155</v>
      </c>
      <c r="D11" s="19" t="s">
        <v>156</v>
      </c>
      <c r="E11" s="19" t="s">
        <v>157</v>
      </c>
      <c r="F11" s="19" t="s">
        <v>158</v>
      </c>
      <c r="G11" s="19" t="s">
        <v>24</v>
      </c>
      <c r="H11" s="19" t="s">
        <v>159</v>
      </c>
      <c r="I11" s="19" t="s">
        <v>160</v>
      </c>
      <c r="J11" s="19"/>
      <c r="K11" s="19" t="s">
        <v>78</v>
      </c>
      <c r="L11" s="19" t="s">
        <v>79</v>
      </c>
      <c r="M11" s="22">
        <v>380000.0</v>
      </c>
      <c r="N11" s="19" t="s">
        <v>90</v>
      </c>
      <c r="O11" s="22">
        <v>0.0</v>
      </c>
      <c r="P11" s="19" t="s">
        <v>81</v>
      </c>
      <c r="Q11" s="19" t="s">
        <v>161</v>
      </c>
      <c r="R11" s="22">
        <f>SUMIF(Ventas!$B:$B,B11,Ventas!$H:$H)</f>
        <v>272802.5</v>
      </c>
      <c r="S11" s="23">
        <f t="shared" si="1"/>
        <v>0.7179013158</v>
      </c>
      <c r="T11" s="24">
        <f>MAXIFS(Ventas!$A:$A,Ventas!$B:$B,B11)</f>
        <v>46155</v>
      </c>
    </row>
    <row r="12">
      <c r="A12" s="19" t="s">
        <v>162</v>
      </c>
      <c r="B12" s="19" t="s">
        <v>163</v>
      </c>
      <c r="C12" s="19" t="s">
        <v>164</v>
      </c>
      <c r="D12" s="19" t="s">
        <v>165</v>
      </c>
      <c r="E12" s="19" t="s">
        <v>166</v>
      </c>
      <c r="F12" s="19" t="s">
        <v>158</v>
      </c>
      <c r="G12" s="19" t="s">
        <v>26</v>
      </c>
      <c r="H12" s="19" t="s">
        <v>167</v>
      </c>
      <c r="I12" s="19" t="s">
        <v>168</v>
      </c>
      <c r="J12" s="19" t="s">
        <v>169</v>
      </c>
      <c r="K12" s="19" t="s">
        <v>131</v>
      </c>
      <c r="L12" s="19" t="s">
        <v>165</v>
      </c>
      <c r="M12" s="22">
        <v>240000.0</v>
      </c>
      <c r="N12" s="19" t="s">
        <v>102</v>
      </c>
      <c r="O12" s="22">
        <v>30000.0</v>
      </c>
      <c r="P12" s="19" t="s">
        <v>81</v>
      </c>
      <c r="Q12" s="19" t="s">
        <v>170</v>
      </c>
      <c r="R12" s="22">
        <f>SUMIF(Ventas!$B:$B,B12,Ventas!$H:$H)</f>
        <v>470514</v>
      </c>
      <c r="S12" s="23">
        <f t="shared" si="1"/>
        <v>1.960475</v>
      </c>
      <c r="T12" s="24">
        <f>MAXIFS(Ventas!$A:$A,Ventas!$B:$B,B12)</f>
        <v>46152</v>
      </c>
    </row>
    <row r="13">
      <c r="A13" s="19" t="s">
        <v>171</v>
      </c>
      <c r="B13" s="19" t="s">
        <v>172</v>
      </c>
      <c r="C13" s="19" t="s">
        <v>173</v>
      </c>
      <c r="D13" s="19" t="s">
        <v>174</v>
      </c>
      <c r="E13" s="19" t="s">
        <v>175</v>
      </c>
      <c r="F13" s="19" t="s">
        <v>109</v>
      </c>
      <c r="G13" s="19" t="s">
        <v>18</v>
      </c>
      <c r="H13" s="19" t="s">
        <v>176</v>
      </c>
      <c r="I13" s="19" t="s">
        <v>177</v>
      </c>
      <c r="J13" s="19"/>
      <c r="K13" s="19" t="s">
        <v>78</v>
      </c>
      <c r="L13" s="19" t="s">
        <v>79</v>
      </c>
      <c r="M13" s="22">
        <v>180000.0</v>
      </c>
      <c r="N13" s="19" t="s">
        <v>90</v>
      </c>
      <c r="O13" s="22">
        <v>0.0</v>
      </c>
      <c r="P13" s="19" t="s">
        <v>81</v>
      </c>
      <c r="Q13" s="19" t="s">
        <v>178</v>
      </c>
      <c r="R13" s="22">
        <f>SUMIF(Ventas!$B:$B,B13,Ventas!$H:$H)</f>
        <v>44190</v>
      </c>
      <c r="S13" s="23">
        <f t="shared" si="1"/>
        <v>0.2455</v>
      </c>
      <c r="T13" s="24">
        <f>MAXIFS(Ventas!$A:$A,Ventas!$B:$B,B13)</f>
        <v>46148</v>
      </c>
    </row>
    <row r="14">
      <c r="A14" s="19" t="s">
        <v>179</v>
      </c>
      <c r="B14" s="19" t="s">
        <v>180</v>
      </c>
      <c r="C14" s="19" t="s">
        <v>181</v>
      </c>
      <c r="D14" s="19" t="s">
        <v>182</v>
      </c>
      <c r="E14" s="19" t="s">
        <v>183</v>
      </c>
      <c r="F14" s="19" t="s">
        <v>109</v>
      </c>
      <c r="G14" s="19" t="s">
        <v>30</v>
      </c>
      <c r="H14" s="19" t="s">
        <v>184</v>
      </c>
      <c r="I14" s="19" t="s">
        <v>185</v>
      </c>
      <c r="J14" s="19"/>
      <c r="K14" s="19" t="s">
        <v>101</v>
      </c>
      <c r="L14" s="19" t="s">
        <v>182</v>
      </c>
      <c r="M14" s="22">
        <v>350000.0</v>
      </c>
      <c r="N14" s="19" t="s">
        <v>102</v>
      </c>
      <c r="O14" s="22">
        <v>0.0</v>
      </c>
      <c r="P14" s="19" t="s">
        <v>81</v>
      </c>
      <c r="Q14" s="19" t="s">
        <v>186</v>
      </c>
      <c r="R14" s="22">
        <f>SUMIF(Ventas!$B:$B,B14,Ventas!$H:$H)</f>
        <v>115450</v>
      </c>
      <c r="S14" s="23">
        <f t="shared" si="1"/>
        <v>0.3298571429</v>
      </c>
      <c r="T14" s="24">
        <f>MAXIFS(Ventas!$A:$A,Ventas!$B:$B,B14)</f>
        <v>46150</v>
      </c>
    </row>
    <row r="15">
      <c r="A15" s="19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2"/>
      <c r="N15" s="4"/>
      <c r="O15" s="12"/>
      <c r="P15" s="4"/>
      <c r="Q15" s="4"/>
      <c r="R15" s="12"/>
      <c r="S15" s="25"/>
      <c r="T15" s="26"/>
    </row>
    <row r="16">
      <c r="A16" s="19" t="s">
        <v>188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2"/>
      <c r="N16" s="4"/>
      <c r="O16" s="12"/>
      <c r="P16" s="4"/>
      <c r="Q16" s="4"/>
      <c r="R16" s="12"/>
      <c r="S16" s="25"/>
      <c r="T16" s="26"/>
    </row>
    <row r="17">
      <c r="A17" s="19" t="s">
        <v>189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12"/>
      <c r="N17" s="4"/>
      <c r="O17" s="12"/>
      <c r="P17" s="4"/>
      <c r="Q17" s="4"/>
      <c r="R17" s="12"/>
      <c r="S17" s="25"/>
      <c r="T17" s="26"/>
    </row>
    <row r="18">
      <c r="A18" s="19" t="s">
        <v>190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12"/>
      <c r="N18" s="4"/>
      <c r="O18" s="12"/>
      <c r="P18" s="4"/>
      <c r="Q18" s="4"/>
      <c r="R18" s="12"/>
      <c r="S18" s="25"/>
      <c r="T18" s="26"/>
    </row>
    <row r="19">
      <c r="A19" s="19" t="s">
        <v>191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2"/>
      <c r="N19" s="4"/>
      <c r="O19" s="12"/>
      <c r="P19" s="4"/>
      <c r="Q19" s="4"/>
      <c r="R19" s="12"/>
      <c r="S19" s="25"/>
      <c r="T19" s="26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2"/>
      <c r="N20" s="4"/>
      <c r="O20" s="12"/>
      <c r="P20" s="4"/>
      <c r="Q20" s="4"/>
      <c r="R20" s="12"/>
      <c r="S20" s="25"/>
      <c r="T20" s="26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2"/>
      <c r="N21" s="4"/>
      <c r="O21" s="12"/>
      <c r="P21" s="4"/>
      <c r="Q21" s="4"/>
      <c r="R21" s="12"/>
      <c r="S21" s="25"/>
      <c r="T21" s="26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2"/>
      <c r="N22" s="4"/>
      <c r="O22" s="12"/>
      <c r="P22" s="4"/>
      <c r="Q22" s="4"/>
      <c r="R22" s="12"/>
      <c r="S22" s="25"/>
      <c r="T22" s="26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2"/>
      <c r="N23" s="4"/>
      <c r="O23" s="12"/>
      <c r="P23" s="4"/>
      <c r="Q23" s="4"/>
      <c r="R23" s="12"/>
      <c r="S23" s="25"/>
      <c r="T23" s="26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2"/>
      <c r="N24" s="4"/>
      <c r="O24" s="12"/>
      <c r="P24" s="4"/>
      <c r="Q24" s="4"/>
      <c r="R24" s="12"/>
      <c r="S24" s="25"/>
      <c r="T24" s="26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12"/>
      <c r="N25" s="4"/>
      <c r="O25" s="12"/>
      <c r="P25" s="4"/>
      <c r="Q25" s="4"/>
      <c r="R25" s="12"/>
      <c r="S25" s="25"/>
      <c r="T25" s="26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  <c r="N26" s="4"/>
      <c r="O26" s="12"/>
      <c r="P26" s="4"/>
      <c r="Q26" s="4"/>
      <c r="R26" s="12"/>
      <c r="S26" s="25"/>
      <c r="T26" s="26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12"/>
      <c r="N27" s="4"/>
      <c r="O27" s="12"/>
      <c r="P27" s="4"/>
      <c r="Q27" s="4"/>
      <c r="R27" s="12"/>
      <c r="S27" s="25"/>
      <c r="T27" s="26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12"/>
      <c r="N28" s="4"/>
      <c r="O28" s="12"/>
      <c r="P28" s="4"/>
      <c r="Q28" s="4"/>
      <c r="R28" s="12"/>
      <c r="S28" s="25"/>
      <c r="T28" s="26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12"/>
      <c r="N29" s="4"/>
      <c r="O29" s="12"/>
      <c r="P29" s="4"/>
      <c r="Q29" s="4"/>
      <c r="R29" s="12"/>
      <c r="S29" s="25"/>
      <c r="T29" s="26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2"/>
      <c r="N30" s="4"/>
      <c r="O30" s="12"/>
      <c r="P30" s="4"/>
      <c r="Q30" s="4"/>
      <c r="R30" s="12"/>
      <c r="S30" s="25"/>
      <c r="T30" s="26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2"/>
      <c r="N31" s="4"/>
      <c r="O31" s="12"/>
      <c r="P31" s="4"/>
      <c r="Q31" s="4"/>
      <c r="R31" s="12"/>
      <c r="S31" s="25"/>
      <c r="T31" s="26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2"/>
      <c r="N32" s="4"/>
      <c r="O32" s="12"/>
      <c r="P32" s="4"/>
      <c r="Q32" s="4"/>
      <c r="R32" s="12"/>
      <c r="S32" s="25"/>
      <c r="T32" s="26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2"/>
      <c r="N33" s="4"/>
      <c r="O33" s="12"/>
      <c r="P33" s="4"/>
      <c r="Q33" s="4"/>
      <c r="R33" s="12"/>
      <c r="S33" s="25"/>
      <c r="T33" s="26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12"/>
      <c r="N34" s="4"/>
      <c r="O34" s="12"/>
      <c r="P34" s="4"/>
      <c r="Q34" s="4"/>
      <c r="R34" s="12"/>
      <c r="S34" s="25"/>
      <c r="T34" s="26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12"/>
      <c r="N35" s="4"/>
      <c r="O35" s="12"/>
      <c r="P35" s="4"/>
      <c r="Q35" s="4"/>
      <c r="R35" s="12"/>
      <c r="S35" s="25"/>
      <c r="T35" s="26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12"/>
      <c r="N36" s="4"/>
      <c r="O36" s="12"/>
      <c r="P36" s="4"/>
      <c r="Q36" s="4"/>
      <c r="R36" s="12"/>
      <c r="S36" s="25"/>
      <c r="T36" s="26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12"/>
      <c r="N37" s="4"/>
      <c r="O37" s="12"/>
      <c r="P37" s="4"/>
      <c r="Q37" s="4"/>
      <c r="R37" s="12"/>
      <c r="S37" s="25"/>
      <c r="T37" s="26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12"/>
      <c r="N38" s="4"/>
      <c r="O38" s="12"/>
      <c r="P38" s="4"/>
      <c r="Q38" s="4"/>
      <c r="R38" s="12"/>
      <c r="S38" s="25"/>
      <c r="T38" s="26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2"/>
      <c r="N39" s="4"/>
      <c r="O39" s="12"/>
      <c r="P39" s="4"/>
      <c r="Q39" s="4"/>
      <c r="R39" s="12"/>
      <c r="S39" s="25"/>
      <c r="T39" s="26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2"/>
      <c r="N40" s="4"/>
      <c r="O40" s="12"/>
      <c r="P40" s="4"/>
      <c r="Q40" s="4"/>
      <c r="R40" s="12"/>
      <c r="S40" s="25"/>
      <c r="T40" s="26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2"/>
      <c r="N41" s="4"/>
      <c r="O41" s="12"/>
      <c r="P41" s="4"/>
      <c r="Q41" s="4"/>
      <c r="R41" s="12"/>
      <c r="S41" s="25"/>
      <c r="T41" s="26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12"/>
      <c r="N42" s="4"/>
      <c r="O42" s="12"/>
      <c r="P42" s="4"/>
      <c r="Q42" s="4"/>
      <c r="R42" s="12"/>
      <c r="S42" s="25"/>
      <c r="T42" s="26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12"/>
      <c r="N43" s="4"/>
      <c r="O43" s="12"/>
      <c r="P43" s="4"/>
      <c r="Q43" s="4"/>
      <c r="R43" s="12"/>
      <c r="S43" s="25"/>
      <c r="T43" s="26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12"/>
      <c r="N44" s="4"/>
      <c r="O44" s="12"/>
      <c r="P44" s="4"/>
      <c r="Q44" s="4"/>
      <c r="R44" s="12"/>
      <c r="S44" s="25"/>
      <c r="T44" s="26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12"/>
      <c r="N45" s="4"/>
      <c r="O45" s="12"/>
      <c r="P45" s="4"/>
      <c r="Q45" s="4"/>
      <c r="R45" s="12"/>
      <c r="S45" s="25"/>
      <c r="T45" s="26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2"/>
      <c r="N46" s="4"/>
      <c r="O46" s="12"/>
      <c r="P46" s="4"/>
      <c r="Q46" s="4"/>
      <c r="R46" s="12"/>
      <c r="S46" s="25"/>
      <c r="T46" s="26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12"/>
      <c r="N47" s="4"/>
      <c r="O47" s="12"/>
      <c r="P47" s="4"/>
      <c r="Q47" s="4"/>
      <c r="R47" s="12"/>
      <c r="S47" s="25"/>
      <c r="T47" s="26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12"/>
      <c r="N48" s="4"/>
      <c r="O48" s="12"/>
      <c r="P48" s="4"/>
      <c r="Q48" s="4"/>
      <c r="R48" s="12"/>
      <c r="S48" s="25"/>
      <c r="T48" s="26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12"/>
      <c r="N49" s="4"/>
      <c r="O49" s="12"/>
      <c r="P49" s="4"/>
      <c r="Q49" s="4"/>
      <c r="R49" s="12"/>
      <c r="S49" s="25"/>
      <c r="T49" s="26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2"/>
      <c r="N50" s="4"/>
      <c r="O50" s="12"/>
      <c r="P50" s="4"/>
      <c r="Q50" s="4"/>
      <c r="R50" s="12"/>
      <c r="S50" s="25"/>
      <c r="T50" s="26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12"/>
      <c r="N51" s="4"/>
      <c r="O51" s="12"/>
      <c r="P51" s="4"/>
      <c r="Q51" s="4"/>
      <c r="R51" s="12"/>
      <c r="S51" s="25"/>
      <c r="T51" s="26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12"/>
      <c r="N52" s="4"/>
      <c r="O52" s="12"/>
      <c r="P52" s="4"/>
      <c r="Q52" s="4"/>
      <c r="R52" s="12"/>
      <c r="S52" s="25"/>
      <c r="T52" s="26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2"/>
      <c r="N53" s="4"/>
      <c r="O53" s="12"/>
      <c r="P53" s="4"/>
      <c r="Q53" s="4"/>
      <c r="R53" s="12"/>
      <c r="S53" s="25"/>
      <c r="T53" s="26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12"/>
      <c r="N54" s="4"/>
      <c r="O54" s="12"/>
      <c r="P54" s="4"/>
      <c r="Q54" s="4"/>
      <c r="R54" s="12"/>
      <c r="S54" s="25"/>
      <c r="T54" s="26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12"/>
      <c r="N55" s="4"/>
      <c r="O55" s="12"/>
      <c r="P55" s="4"/>
      <c r="Q55" s="4"/>
      <c r="R55" s="12"/>
      <c r="S55" s="25"/>
      <c r="T55" s="26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12"/>
      <c r="N56" s="4"/>
      <c r="O56" s="12"/>
      <c r="P56" s="4"/>
      <c r="Q56" s="4"/>
      <c r="R56" s="12"/>
      <c r="S56" s="25"/>
      <c r="T56" s="26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12"/>
      <c r="N57" s="4"/>
      <c r="O57" s="12"/>
      <c r="P57" s="4"/>
      <c r="Q57" s="4"/>
      <c r="R57" s="12"/>
      <c r="S57" s="25"/>
      <c r="T57" s="26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12"/>
      <c r="N58" s="4"/>
      <c r="O58" s="12"/>
      <c r="P58" s="4"/>
      <c r="Q58" s="4"/>
      <c r="R58" s="12"/>
      <c r="S58" s="25"/>
      <c r="T58" s="26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12"/>
      <c r="N59" s="4"/>
      <c r="O59" s="12"/>
      <c r="P59" s="4"/>
      <c r="Q59" s="4"/>
      <c r="R59" s="12"/>
      <c r="S59" s="25"/>
      <c r="T59" s="26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12"/>
      <c r="N60" s="4"/>
      <c r="O60" s="12"/>
      <c r="P60" s="4"/>
      <c r="Q60" s="4"/>
      <c r="R60" s="12"/>
      <c r="S60" s="25"/>
      <c r="T60" s="26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12"/>
      <c r="N61" s="4"/>
      <c r="O61" s="12"/>
      <c r="P61" s="4"/>
      <c r="Q61" s="4"/>
      <c r="R61" s="12"/>
      <c r="S61" s="25"/>
      <c r="T61" s="26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12"/>
      <c r="N62" s="4"/>
      <c r="O62" s="12"/>
      <c r="P62" s="4"/>
      <c r="Q62" s="4"/>
      <c r="R62" s="12"/>
      <c r="S62" s="25"/>
      <c r="T62" s="26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12"/>
      <c r="N63" s="4"/>
      <c r="O63" s="12"/>
      <c r="P63" s="4"/>
      <c r="Q63" s="4"/>
      <c r="R63" s="12"/>
      <c r="S63" s="25"/>
      <c r="T63" s="26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2"/>
      <c r="N64" s="4"/>
      <c r="O64" s="12"/>
      <c r="P64" s="4"/>
      <c r="Q64" s="4"/>
      <c r="R64" s="12"/>
      <c r="S64" s="25"/>
      <c r="T64" s="26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2"/>
      <c r="N65" s="4"/>
      <c r="O65" s="12"/>
      <c r="P65" s="4"/>
      <c r="Q65" s="4"/>
      <c r="R65" s="12"/>
      <c r="S65" s="25"/>
      <c r="T65" s="26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12"/>
      <c r="N66" s="4"/>
      <c r="O66" s="12"/>
      <c r="P66" s="4"/>
      <c r="Q66" s="4"/>
      <c r="R66" s="12"/>
      <c r="S66" s="25"/>
      <c r="T66" s="26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12"/>
      <c r="N67" s="4"/>
      <c r="O67" s="12"/>
      <c r="P67" s="4"/>
      <c r="Q67" s="4"/>
      <c r="R67" s="12"/>
      <c r="S67" s="25"/>
      <c r="T67" s="26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2"/>
      <c r="N68" s="4"/>
      <c r="O68" s="12"/>
      <c r="P68" s="4"/>
      <c r="Q68" s="4"/>
      <c r="R68" s="12"/>
      <c r="S68" s="25"/>
      <c r="T68" s="26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12"/>
      <c r="N69" s="4"/>
      <c r="O69" s="12"/>
      <c r="P69" s="4"/>
      <c r="Q69" s="4"/>
      <c r="R69" s="12"/>
      <c r="S69" s="25"/>
      <c r="T69" s="26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12"/>
      <c r="N70" s="4"/>
      <c r="O70" s="12"/>
      <c r="P70" s="4"/>
      <c r="Q70" s="4"/>
      <c r="R70" s="12"/>
      <c r="S70" s="25"/>
      <c r="T70" s="26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2"/>
      <c r="N71" s="4"/>
      <c r="O71" s="12"/>
      <c r="P71" s="4"/>
      <c r="Q71" s="4"/>
      <c r="R71" s="12"/>
      <c r="S71" s="25"/>
      <c r="T71" s="26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12"/>
      <c r="N72" s="4"/>
      <c r="O72" s="12"/>
      <c r="P72" s="4"/>
      <c r="Q72" s="4"/>
      <c r="R72" s="12"/>
      <c r="S72" s="25"/>
      <c r="T72" s="26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12"/>
      <c r="N73" s="4"/>
      <c r="O73" s="12"/>
      <c r="P73" s="4"/>
      <c r="Q73" s="4"/>
      <c r="R73" s="12"/>
      <c r="S73" s="25"/>
      <c r="T73" s="26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12"/>
      <c r="N74" s="4"/>
      <c r="O74" s="12"/>
      <c r="P74" s="4"/>
      <c r="Q74" s="4"/>
      <c r="R74" s="12"/>
      <c r="S74" s="25"/>
      <c r="T74" s="26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12"/>
      <c r="N75" s="4"/>
      <c r="O75" s="12"/>
      <c r="P75" s="4"/>
      <c r="Q75" s="4"/>
      <c r="R75" s="12"/>
      <c r="S75" s="25"/>
      <c r="T75" s="26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12"/>
      <c r="N76" s="4"/>
      <c r="O76" s="12"/>
      <c r="P76" s="4"/>
      <c r="Q76" s="4"/>
      <c r="R76" s="12"/>
      <c r="S76" s="25"/>
      <c r="T76" s="26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2"/>
      <c r="N77" s="4"/>
      <c r="O77" s="12"/>
      <c r="P77" s="4"/>
      <c r="Q77" s="4"/>
      <c r="R77" s="12"/>
      <c r="S77" s="25"/>
      <c r="T77" s="26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12"/>
      <c r="N78" s="4"/>
      <c r="O78" s="12"/>
      <c r="P78" s="4"/>
      <c r="Q78" s="4"/>
      <c r="R78" s="12"/>
      <c r="S78" s="25"/>
      <c r="T78" s="26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12"/>
      <c r="N79" s="4"/>
      <c r="O79" s="12"/>
      <c r="P79" s="4"/>
      <c r="Q79" s="4"/>
      <c r="R79" s="12"/>
      <c r="S79" s="25"/>
      <c r="T79" s="26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12"/>
      <c r="N80" s="4"/>
      <c r="O80" s="12"/>
      <c r="P80" s="4"/>
      <c r="Q80" s="4"/>
      <c r="R80" s="12"/>
      <c r="S80" s="25"/>
      <c r="T80" s="26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12"/>
      <c r="N81" s="4"/>
      <c r="O81" s="12"/>
      <c r="P81" s="4"/>
      <c r="Q81" s="4"/>
      <c r="R81" s="12"/>
      <c r="S81" s="25"/>
      <c r="T81" s="26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2"/>
      <c r="N82" s="4"/>
      <c r="O82" s="12"/>
      <c r="P82" s="4"/>
      <c r="Q82" s="4"/>
      <c r="R82" s="12"/>
      <c r="S82" s="25"/>
      <c r="T82" s="26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12"/>
      <c r="N83" s="4"/>
      <c r="O83" s="12"/>
      <c r="P83" s="4"/>
      <c r="Q83" s="4"/>
      <c r="R83" s="12"/>
      <c r="S83" s="25"/>
      <c r="T83" s="26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12"/>
      <c r="N84" s="4"/>
      <c r="O84" s="12"/>
      <c r="P84" s="4"/>
      <c r="Q84" s="4"/>
      <c r="R84" s="12"/>
      <c r="S84" s="25"/>
      <c r="T84" s="26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2"/>
      <c r="N85" s="4"/>
      <c r="O85" s="12"/>
      <c r="P85" s="4"/>
      <c r="Q85" s="4"/>
      <c r="R85" s="12"/>
      <c r="S85" s="25"/>
      <c r="T85" s="26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12"/>
      <c r="N86" s="4"/>
      <c r="O86" s="12"/>
      <c r="P86" s="4"/>
      <c r="Q86" s="4"/>
      <c r="R86" s="12"/>
      <c r="S86" s="25"/>
      <c r="T86" s="26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12"/>
      <c r="N87" s="4"/>
      <c r="O87" s="12"/>
      <c r="P87" s="4"/>
      <c r="Q87" s="4"/>
      <c r="R87" s="12"/>
      <c r="S87" s="25"/>
      <c r="T87" s="26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12"/>
      <c r="N88" s="4"/>
      <c r="O88" s="12"/>
      <c r="P88" s="4"/>
      <c r="Q88" s="4"/>
      <c r="R88" s="12"/>
      <c r="S88" s="25"/>
      <c r="T88" s="26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12"/>
      <c r="N89" s="4"/>
      <c r="O89" s="12"/>
      <c r="P89" s="4"/>
      <c r="Q89" s="4"/>
      <c r="R89" s="12"/>
      <c r="S89" s="25"/>
      <c r="T89" s="26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12"/>
      <c r="N90" s="4"/>
      <c r="O90" s="12"/>
      <c r="P90" s="4"/>
      <c r="Q90" s="4"/>
      <c r="R90" s="12"/>
      <c r="S90" s="25"/>
      <c r="T90" s="26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12"/>
      <c r="N91" s="4"/>
      <c r="O91" s="12"/>
      <c r="P91" s="4"/>
      <c r="Q91" s="4"/>
      <c r="R91" s="12"/>
      <c r="S91" s="25"/>
      <c r="T91" s="26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12"/>
      <c r="N92" s="4"/>
      <c r="O92" s="12"/>
      <c r="P92" s="4"/>
      <c r="Q92" s="4"/>
      <c r="R92" s="12"/>
      <c r="S92" s="25"/>
      <c r="T92" s="26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12"/>
      <c r="N93" s="4"/>
      <c r="O93" s="12"/>
      <c r="P93" s="4"/>
      <c r="Q93" s="4"/>
      <c r="R93" s="12"/>
      <c r="S93" s="25"/>
      <c r="T93" s="26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12"/>
      <c r="N94" s="4"/>
      <c r="O94" s="12"/>
      <c r="P94" s="4"/>
      <c r="Q94" s="4"/>
      <c r="R94" s="12"/>
      <c r="S94" s="25"/>
      <c r="T94" s="26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12"/>
      <c r="N95" s="4"/>
      <c r="O95" s="12"/>
      <c r="P95" s="4"/>
      <c r="Q95" s="4"/>
      <c r="R95" s="12"/>
      <c r="S95" s="25"/>
      <c r="T95" s="26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12"/>
      <c r="N96" s="4"/>
      <c r="O96" s="12"/>
      <c r="P96" s="4"/>
      <c r="Q96" s="4"/>
      <c r="R96" s="12"/>
      <c r="S96" s="25"/>
      <c r="T96" s="26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12"/>
      <c r="N97" s="4"/>
      <c r="O97" s="12"/>
      <c r="P97" s="4"/>
      <c r="Q97" s="4"/>
      <c r="R97" s="12"/>
      <c r="S97" s="25"/>
      <c r="T97" s="26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12"/>
      <c r="N98" s="4"/>
      <c r="O98" s="12"/>
      <c r="P98" s="4"/>
      <c r="Q98" s="4"/>
      <c r="R98" s="12"/>
      <c r="S98" s="25"/>
      <c r="T98" s="26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12"/>
      <c r="N99" s="4"/>
      <c r="O99" s="12"/>
      <c r="P99" s="4"/>
      <c r="Q99" s="4"/>
      <c r="R99" s="12"/>
      <c r="S99" s="25"/>
      <c r="T99" s="26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14.0"/>
    <col customWidth="1" min="4" max="4" width="32.0"/>
    <col customWidth="1" min="5" max="5" width="18.0"/>
    <col customWidth="1" min="6" max="6" width="13.0"/>
    <col customWidth="1" min="7" max="9" width="14.0"/>
    <col customWidth="1" min="10" max="10" width="10.0"/>
    <col customWidth="1" min="11" max="11" width="16.0"/>
    <col customWidth="1" min="12" max="12" width="12.0"/>
    <col customWidth="1" min="13" max="13" width="16.0"/>
    <col customWidth="1" min="14" max="14" width="12.0"/>
    <col customWidth="1" min="15" max="15" width="16.0"/>
    <col customWidth="1" min="16" max="16" width="12.0"/>
    <col customWidth="1" min="17" max="26" width="8.71"/>
  </cols>
  <sheetData>
    <row r="1" ht="27.75" customHeight="1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18" t="s">
        <v>193</v>
      </c>
      <c r="B2" s="18" t="s">
        <v>194</v>
      </c>
      <c r="C2" s="18" t="s">
        <v>195</v>
      </c>
      <c r="D2" s="18" t="s">
        <v>17</v>
      </c>
      <c r="E2" s="18" t="s">
        <v>196</v>
      </c>
      <c r="F2" s="18" t="s">
        <v>197</v>
      </c>
      <c r="G2" s="18" t="s">
        <v>198</v>
      </c>
      <c r="H2" s="18" t="s">
        <v>199</v>
      </c>
      <c r="I2" s="18" t="s">
        <v>200</v>
      </c>
      <c r="J2" s="18" t="s">
        <v>201</v>
      </c>
      <c r="K2" s="18" t="s">
        <v>202</v>
      </c>
      <c r="L2" s="18" t="s">
        <v>203</v>
      </c>
      <c r="M2" s="18" t="s">
        <v>204</v>
      </c>
      <c r="N2" s="18" t="s">
        <v>205</v>
      </c>
      <c r="O2" s="18" t="s">
        <v>206</v>
      </c>
      <c r="P2" s="18" t="s">
        <v>43</v>
      </c>
    </row>
    <row r="3">
      <c r="A3" s="19" t="s">
        <v>207</v>
      </c>
      <c r="B3" s="19" t="s">
        <v>208</v>
      </c>
      <c r="C3" s="19" t="s">
        <v>209</v>
      </c>
      <c r="D3" s="19" t="s">
        <v>19</v>
      </c>
      <c r="E3" s="19" t="s">
        <v>210</v>
      </c>
      <c r="F3" s="19" t="s">
        <v>211</v>
      </c>
      <c r="G3" s="22">
        <v>1850.0</v>
      </c>
      <c r="H3" s="22">
        <v>120.0</v>
      </c>
      <c r="I3" s="22">
        <v>1970.0</v>
      </c>
      <c r="J3" s="23">
        <v>0.19</v>
      </c>
      <c r="K3" s="22">
        <v>2490.0</v>
      </c>
      <c r="L3" s="23">
        <f t="shared" ref="L3:L16" si="1">IF(K3&gt;0,(K3-I3)/K3,0)</f>
        <v>0.2088353414</v>
      </c>
      <c r="M3" s="22">
        <f t="shared" ref="M3:M16" si="2">K3-I3</f>
        <v>520</v>
      </c>
      <c r="N3" s="19">
        <v>20.0</v>
      </c>
      <c r="O3" s="19" t="s">
        <v>212</v>
      </c>
      <c r="P3" s="19" t="s">
        <v>81</v>
      </c>
    </row>
    <row r="4">
      <c r="A4" s="19" t="s">
        <v>213</v>
      </c>
      <c r="B4" s="19" t="s">
        <v>214</v>
      </c>
      <c r="C4" s="19" t="s">
        <v>209</v>
      </c>
      <c r="D4" s="19" t="s">
        <v>21</v>
      </c>
      <c r="E4" s="19" t="s">
        <v>210</v>
      </c>
      <c r="F4" s="19" t="s">
        <v>215</v>
      </c>
      <c r="G4" s="22">
        <v>5350.0</v>
      </c>
      <c r="H4" s="22">
        <v>250.0</v>
      </c>
      <c r="I4" s="22">
        <v>5600.0</v>
      </c>
      <c r="J4" s="23">
        <v>0.19</v>
      </c>
      <c r="K4" s="22">
        <v>6990.0</v>
      </c>
      <c r="L4" s="23">
        <f t="shared" si="1"/>
        <v>0.1988555079</v>
      </c>
      <c r="M4" s="22">
        <f t="shared" si="2"/>
        <v>1390</v>
      </c>
      <c r="N4" s="19">
        <v>15.0</v>
      </c>
      <c r="O4" s="19" t="s">
        <v>212</v>
      </c>
      <c r="P4" s="19" t="s">
        <v>81</v>
      </c>
    </row>
    <row r="5">
      <c r="A5" s="19" t="s">
        <v>216</v>
      </c>
      <c r="B5" s="19" t="s">
        <v>217</v>
      </c>
      <c r="C5" s="19" t="s">
        <v>209</v>
      </c>
      <c r="D5" s="19" t="s">
        <v>23</v>
      </c>
      <c r="E5" s="19" t="s">
        <v>218</v>
      </c>
      <c r="F5" s="19" t="s">
        <v>215</v>
      </c>
      <c r="G5" s="22">
        <v>1450.0</v>
      </c>
      <c r="H5" s="22">
        <v>80.0</v>
      </c>
      <c r="I5" s="22">
        <v>1530.0</v>
      </c>
      <c r="J5" s="23">
        <v>0.19</v>
      </c>
      <c r="K5" s="22">
        <v>1990.0</v>
      </c>
      <c r="L5" s="23">
        <f t="shared" si="1"/>
        <v>0.2311557789</v>
      </c>
      <c r="M5" s="22">
        <f t="shared" si="2"/>
        <v>460</v>
      </c>
      <c r="N5" s="19">
        <v>20.0</v>
      </c>
      <c r="O5" s="19" t="s">
        <v>212</v>
      </c>
      <c r="P5" s="19" t="s">
        <v>81</v>
      </c>
    </row>
    <row r="6">
      <c r="A6" s="19" t="s">
        <v>219</v>
      </c>
      <c r="B6" s="19" t="s">
        <v>220</v>
      </c>
      <c r="C6" s="19" t="s">
        <v>221</v>
      </c>
      <c r="D6" s="19" t="s">
        <v>25</v>
      </c>
      <c r="E6" s="19" t="s">
        <v>222</v>
      </c>
      <c r="F6" s="19" t="s">
        <v>197</v>
      </c>
      <c r="G6" s="22">
        <v>760.0</v>
      </c>
      <c r="H6" s="22">
        <v>60.0</v>
      </c>
      <c r="I6" s="22">
        <v>820.0</v>
      </c>
      <c r="J6" s="23">
        <v>0.19</v>
      </c>
      <c r="K6" s="22">
        <v>1290.0</v>
      </c>
      <c r="L6" s="23">
        <f t="shared" si="1"/>
        <v>0.3643410853</v>
      </c>
      <c r="M6" s="22">
        <f t="shared" si="2"/>
        <v>470</v>
      </c>
      <c r="N6" s="19">
        <v>48.0</v>
      </c>
      <c r="O6" s="19" t="s">
        <v>223</v>
      </c>
      <c r="P6" s="19" t="s">
        <v>81</v>
      </c>
    </row>
    <row r="7">
      <c r="A7" s="19" t="s">
        <v>224</v>
      </c>
      <c r="B7" s="19" t="s">
        <v>225</v>
      </c>
      <c r="C7" s="19" t="s">
        <v>221</v>
      </c>
      <c r="D7" s="19" t="s">
        <v>27</v>
      </c>
      <c r="E7" s="19" t="s">
        <v>226</v>
      </c>
      <c r="F7" s="19" t="s">
        <v>197</v>
      </c>
      <c r="G7" s="22">
        <v>390.0</v>
      </c>
      <c r="H7" s="22">
        <v>30.0</v>
      </c>
      <c r="I7" s="22">
        <v>420.0</v>
      </c>
      <c r="J7" s="23">
        <v>0.19</v>
      </c>
      <c r="K7" s="22">
        <v>790.0</v>
      </c>
      <c r="L7" s="23">
        <f t="shared" si="1"/>
        <v>0.4683544304</v>
      </c>
      <c r="M7" s="22">
        <f t="shared" si="2"/>
        <v>370</v>
      </c>
      <c r="N7" s="19">
        <v>60.0</v>
      </c>
      <c r="O7" s="19" t="s">
        <v>223</v>
      </c>
      <c r="P7" s="19" t="s">
        <v>81</v>
      </c>
    </row>
    <row r="8">
      <c r="A8" s="19" t="s">
        <v>227</v>
      </c>
      <c r="B8" s="19" t="s">
        <v>228</v>
      </c>
      <c r="C8" s="19" t="s">
        <v>221</v>
      </c>
      <c r="D8" s="19" t="s">
        <v>29</v>
      </c>
      <c r="E8" s="19" t="s">
        <v>226</v>
      </c>
      <c r="F8" s="19" t="s">
        <v>215</v>
      </c>
      <c r="G8" s="22">
        <v>2350.0</v>
      </c>
      <c r="H8" s="22">
        <v>150.0</v>
      </c>
      <c r="I8" s="22">
        <v>2500.0</v>
      </c>
      <c r="J8" s="23">
        <v>0.19</v>
      </c>
      <c r="K8" s="22">
        <v>3490.0</v>
      </c>
      <c r="L8" s="23">
        <f t="shared" si="1"/>
        <v>0.2836676218</v>
      </c>
      <c r="M8" s="22">
        <f t="shared" si="2"/>
        <v>990</v>
      </c>
      <c r="N8" s="19">
        <v>12.0</v>
      </c>
      <c r="O8" s="19" t="s">
        <v>223</v>
      </c>
      <c r="P8" s="19" t="s">
        <v>81</v>
      </c>
    </row>
    <row r="9">
      <c r="A9" s="19" t="s">
        <v>229</v>
      </c>
      <c r="B9" s="19" t="s">
        <v>230</v>
      </c>
      <c r="C9" s="19" t="s">
        <v>231</v>
      </c>
      <c r="D9" s="19" t="s">
        <v>31</v>
      </c>
      <c r="E9" s="19" t="s">
        <v>232</v>
      </c>
      <c r="F9" s="19" t="s">
        <v>233</v>
      </c>
      <c r="G9" s="22">
        <v>6100.0</v>
      </c>
      <c r="H9" s="22">
        <v>200.0</v>
      </c>
      <c r="I9" s="22">
        <v>6300.0</v>
      </c>
      <c r="J9" s="23">
        <v>0.19</v>
      </c>
      <c r="K9" s="22">
        <v>7500.0</v>
      </c>
      <c r="L9" s="23">
        <f t="shared" si="1"/>
        <v>0.16</v>
      </c>
      <c r="M9" s="22">
        <f t="shared" si="2"/>
        <v>1200</v>
      </c>
      <c r="N9" s="19">
        <v>10.0</v>
      </c>
      <c r="O9" s="19" t="s">
        <v>234</v>
      </c>
      <c r="P9" s="19" t="s">
        <v>81</v>
      </c>
    </row>
    <row r="10">
      <c r="A10" s="19" t="s">
        <v>235</v>
      </c>
      <c r="B10" s="19" t="s">
        <v>236</v>
      </c>
      <c r="C10" s="19" t="s">
        <v>231</v>
      </c>
      <c r="D10" s="19" t="s">
        <v>32</v>
      </c>
      <c r="E10" s="19" t="s">
        <v>232</v>
      </c>
      <c r="F10" s="19" t="s">
        <v>237</v>
      </c>
      <c r="G10" s="22">
        <v>39500.0</v>
      </c>
      <c r="H10" s="22">
        <v>800.0</v>
      </c>
      <c r="I10" s="22">
        <v>40300.0</v>
      </c>
      <c r="J10" s="23">
        <v>0.19</v>
      </c>
      <c r="K10" s="22">
        <v>43900.0</v>
      </c>
      <c r="L10" s="23">
        <f t="shared" si="1"/>
        <v>0.08200455581</v>
      </c>
      <c r="M10" s="22">
        <f t="shared" si="2"/>
        <v>3600</v>
      </c>
      <c r="N10" s="19">
        <v>4.0</v>
      </c>
      <c r="O10" s="19" t="s">
        <v>234</v>
      </c>
      <c r="P10" s="19" t="s">
        <v>81</v>
      </c>
    </row>
    <row r="11">
      <c r="A11" s="19" t="s">
        <v>238</v>
      </c>
      <c r="B11" s="19" t="s">
        <v>239</v>
      </c>
      <c r="C11" s="19" t="s">
        <v>231</v>
      </c>
      <c r="D11" s="19" t="s">
        <v>240</v>
      </c>
      <c r="E11" s="19" t="s">
        <v>241</v>
      </c>
      <c r="F11" s="19" t="s">
        <v>237</v>
      </c>
      <c r="G11" s="22">
        <v>4200.0</v>
      </c>
      <c r="H11" s="22">
        <v>150.0</v>
      </c>
      <c r="I11" s="22">
        <v>4350.0</v>
      </c>
      <c r="J11" s="23">
        <v>0.19</v>
      </c>
      <c r="K11" s="22">
        <v>5990.0</v>
      </c>
      <c r="L11" s="23">
        <f t="shared" si="1"/>
        <v>0.2737896494</v>
      </c>
      <c r="M11" s="22">
        <f t="shared" si="2"/>
        <v>1640</v>
      </c>
      <c r="N11" s="19">
        <v>10.0</v>
      </c>
      <c r="O11" s="19" t="s">
        <v>242</v>
      </c>
      <c r="P11" s="19" t="s">
        <v>81</v>
      </c>
    </row>
    <row r="12">
      <c r="A12" s="19" t="s">
        <v>243</v>
      </c>
      <c r="B12" s="19" t="s">
        <v>244</v>
      </c>
      <c r="C12" s="19" t="s">
        <v>245</v>
      </c>
      <c r="D12" s="19" t="s">
        <v>246</v>
      </c>
      <c r="E12" s="19" t="s">
        <v>247</v>
      </c>
      <c r="F12" s="19" t="s">
        <v>248</v>
      </c>
      <c r="G12" s="22">
        <v>1050.0</v>
      </c>
      <c r="H12" s="22">
        <v>80.0</v>
      </c>
      <c r="I12" s="22">
        <v>1130.0</v>
      </c>
      <c r="J12" s="23">
        <v>0.19</v>
      </c>
      <c r="K12" s="22">
        <v>1590.0</v>
      </c>
      <c r="L12" s="23">
        <f t="shared" si="1"/>
        <v>0.2893081761</v>
      </c>
      <c r="M12" s="22">
        <f t="shared" si="2"/>
        <v>460</v>
      </c>
      <c r="N12" s="19">
        <v>50.0</v>
      </c>
      <c r="O12" s="19" t="s">
        <v>249</v>
      </c>
      <c r="P12" s="19" t="s">
        <v>81</v>
      </c>
    </row>
    <row r="13">
      <c r="A13" s="19" t="s">
        <v>250</v>
      </c>
      <c r="B13" s="19" t="s">
        <v>251</v>
      </c>
      <c r="C13" s="19" t="s">
        <v>245</v>
      </c>
      <c r="D13" s="19" t="s">
        <v>252</v>
      </c>
      <c r="E13" s="19" t="s">
        <v>247</v>
      </c>
      <c r="F13" s="19" t="s">
        <v>253</v>
      </c>
      <c r="G13" s="22">
        <v>2300.0</v>
      </c>
      <c r="H13" s="22">
        <v>200.0</v>
      </c>
      <c r="I13" s="22">
        <v>2500.0</v>
      </c>
      <c r="J13" s="23">
        <v>0.19</v>
      </c>
      <c r="K13" s="22">
        <v>3500.0</v>
      </c>
      <c r="L13" s="23">
        <f t="shared" si="1"/>
        <v>0.2857142857</v>
      </c>
      <c r="M13" s="22">
        <f t="shared" si="2"/>
        <v>1000</v>
      </c>
      <c r="N13" s="19">
        <v>30.0</v>
      </c>
      <c r="O13" s="19" t="s">
        <v>254</v>
      </c>
      <c r="P13" s="19" t="s">
        <v>81</v>
      </c>
    </row>
    <row r="14">
      <c r="A14" s="19" t="s">
        <v>255</v>
      </c>
      <c r="B14" s="19" t="s">
        <v>256</v>
      </c>
      <c r="C14" s="19" t="s">
        <v>245</v>
      </c>
      <c r="D14" s="19" t="s">
        <v>257</v>
      </c>
      <c r="E14" s="19" t="s">
        <v>258</v>
      </c>
      <c r="F14" s="19" t="s">
        <v>253</v>
      </c>
      <c r="G14" s="22">
        <v>2700.0</v>
      </c>
      <c r="H14" s="22">
        <v>160.0</v>
      </c>
      <c r="I14" s="22">
        <v>2860.0</v>
      </c>
      <c r="J14" s="23">
        <v>0.19</v>
      </c>
      <c r="K14" s="22">
        <v>3800.0</v>
      </c>
      <c r="L14" s="23">
        <f t="shared" si="1"/>
        <v>0.2473684211</v>
      </c>
      <c r="M14" s="22">
        <f t="shared" si="2"/>
        <v>940</v>
      </c>
      <c r="N14" s="19">
        <v>50.0</v>
      </c>
      <c r="O14" s="19" t="s">
        <v>254</v>
      </c>
      <c r="P14" s="19" t="s">
        <v>81</v>
      </c>
    </row>
    <row r="15">
      <c r="A15" s="19" t="s">
        <v>259</v>
      </c>
      <c r="B15" s="19" t="s">
        <v>260</v>
      </c>
      <c r="C15" s="19" t="s">
        <v>261</v>
      </c>
      <c r="D15" s="19" t="s">
        <v>262</v>
      </c>
      <c r="E15" s="19" t="s">
        <v>241</v>
      </c>
      <c r="F15" s="19" t="s">
        <v>197</v>
      </c>
      <c r="G15" s="22">
        <v>890.0</v>
      </c>
      <c r="H15" s="22">
        <v>60.0</v>
      </c>
      <c r="I15" s="22">
        <v>950.0</v>
      </c>
      <c r="J15" s="23">
        <v>0.19</v>
      </c>
      <c r="K15" s="22">
        <v>1490.0</v>
      </c>
      <c r="L15" s="23">
        <f t="shared" si="1"/>
        <v>0.3624161074</v>
      </c>
      <c r="M15" s="22">
        <f t="shared" si="2"/>
        <v>540</v>
      </c>
      <c r="N15" s="19">
        <v>25.0</v>
      </c>
      <c r="O15" s="19" t="s">
        <v>242</v>
      </c>
      <c r="P15" s="19" t="s">
        <v>81</v>
      </c>
    </row>
    <row r="16">
      <c r="A16" s="19" t="s">
        <v>263</v>
      </c>
      <c r="B16" s="19" t="s">
        <v>264</v>
      </c>
      <c r="C16" s="19" t="s">
        <v>265</v>
      </c>
      <c r="D16" s="19" t="s">
        <v>266</v>
      </c>
      <c r="E16" s="19" t="s">
        <v>241</v>
      </c>
      <c r="F16" s="19" t="s">
        <v>197</v>
      </c>
      <c r="G16" s="22">
        <v>4200.0</v>
      </c>
      <c r="H16" s="22">
        <v>300.0</v>
      </c>
      <c r="I16" s="22">
        <v>4500.0</v>
      </c>
      <c r="J16" s="23">
        <v>0.19</v>
      </c>
      <c r="K16" s="22">
        <v>6000.0</v>
      </c>
      <c r="L16" s="23">
        <f t="shared" si="1"/>
        <v>0.25</v>
      </c>
      <c r="M16" s="22">
        <f t="shared" si="2"/>
        <v>1500</v>
      </c>
      <c r="N16" s="19">
        <v>5.0</v>
      </c>
      <c r="O16" s="19" t="s">
        <v>267</v>
      </c>
      <c r="P16" s="19" t="s">
        <v>81</v>
      </c>
    </row>
    <row r="17">
      <c r="A17" s="4"/>
      <c r="B17" s="4"/>
      <c r="C17" s="4"/>
      <c r="D17" s="4"/>
      <c r="E17" s="4"/>
      <c r="F17" s="4"/>
      <c r="G17" s="12"/>
      <c r="H17" s="12"/>
      <c r="I17" s="12"/>
      <c r="J17" s="25"/>
      <c r="K17" s="12"/>
      <c r="L17" s="25"/>
      <c r="M17" s="12"/>
      <c r="N17" s="4"/>
      <c r="O17" s="4"/>
      <c r="P17" s="4"/>
    </row>
    <row r="18">
      <c r="A18" s="4"/>
      <c r="B18" s="4"/>
      <c r="C18" s="4"/>
      <c r="D18" s="4"/>
      <c r="E18" s="4"/>
      <c r="F18" s="4"/>
      <c r="G18" s="12"/>
      <c r="H18" s="12"/>
      <c r="I18" s="12"/>
      <c r="J18" s="25"/>
      <c r="K18" s="12"/>
      <c r="L18" s="25"/>
      <c r="M18" s="12"/>
      <c r="N18" s="4"/>
      <c r="O18" s="4"/>
      <c r="P18" s="4"/>
    </row>
    <row r="19">
      <c r="A19" s="4"/>
      <c r="B19" s="4"/>
      <c r="C19" s="4"/>
      <c r="D19" s="4"/>
      <c r="E19" s="4"/>
      <c r="F19" s="4"/>
      <c r="G19" s="12"/>
      <c r="H19" s="12"/>
      <c r="I19" s="12"/>
      <c r="J19" s="25"/>
      <c r="K19" s="12"/>
      <c r="L19" s="25"/>
      <c r="M19" s="12"/>
      <c r="N19" s="4"/>
      <c r="O19" s="4"/>
      <c r="P19" s="4"/>
    </row>
    <row r="20">
      <c r="A20" s="4"/>
      <c r="B20" s="4"/>
      <c r="C20" s="4"/>
      <c r="D20" s="4"/>
      <c r="E20" s="4"/>
      <c r="F20" s="4"/>
      <c r="G20" s="12"/>
      <c r="H20" s="12"/>
      <c r="I20" s="12"/>
      <c r="J20" s="25"/>
      <c r="K20" s="12"/>
      <c r="L20" s="25"/>
      <c r="M20" s="12"/>
      <c r="N20" s="4"/>
      <c r="O20" s="4"/>
      <c r="P20" s="4"/>
    </row>
    <row r="21" ht="15.75" customHeight="1">
      <c r="A21" s="4"/>
      <c r="B21" s="4"/>
      <c r="C21" s="4"/>
      <c r="D21" s="4"/>
      <c r="E21" s="4"/>
      <c r="F21" s="4"/>
      <c r="G21" s="12"/>
      <c r="H21" s="12"/>
      <c r="I21" s="12"/>
      <c r="J21" s="25"/>
      <c r="K21" s="12"/>
      <c r="L21" s="25"/>
      <c r="M21" s="12"/>
      <c r="N21" s="4"/>
      <c r="O21" s="4"/>
      <c r="P21" s="4"/>
    </row>
    <row r="22" ht="15.75" customHeight="1">
      <c r="A22" s="4"/>
      <c r="B22" s="4"/>
      <c r="C22" s="4"/>
      <c r="D22" s="4"/>
      <c r="E22" s="4"/>
      <c r="F22" s="4"/>
      <c r="G22" s="12"/>
      <c r="H22" s="12"/>
      <c r="I22" s="12"/>
      <c r="J22" s="25"/>
      <c r="K22" s="12"/>
      <c r="L22" s="25"/>
      <c r="M22" s="12"/>
      <c r="N22" s="4"/>
      <c r="O22" s="4"/>
      <c r="P22" s="4"/>
    </row>
    <row r="23" ht="15.75" customHeight="1">
      <c r="A23" s="4"/>
      <c r="B23" s="4"/>
      <c r="C23" s="4"/>
      <c r="D23" s="4"/>
      <c r="E23" s="4"/>
      <c r="F23" s="4"/>
      <c r="G23" s="12"/>
      <c r="H23" s="12"/>
      <c r="I23" s="12"/>
      <c r="J23" s="25"/>
      <c r="K23" s="12"/>
      <c r="L23" s="25"/>
      <c r="M23" s="12"/>
      <c r="N23" s="4"/>
      <c r="O23" s="4"/>
      <c r="P23" s="4"/>
    </row>
    <row r="24" ht="15.75" customHeight="1">
      <c r="A24" s="4"/>
      <c r="B24" s="4"/>
      <c r="C24" s="4"/>
      <c r="D24" s="4"/>
      <c r="E24" s="4"/>
      <c r="F24" s="4"/>
      <c r="G24" s="12"/>
      <c r="H24" s="12"/>
      <c r="I24" s="12"/>
      <c r="J24" s="25"/>
      <c r="K24" s="12"/>
      <c r="L24" s="25"/>
      <c r="M24" s="12"/>
      <c r="N24" s="4"/>
      <c r="O24" s="4"/>
      <c r="P24" s="4"/>
    </row>
    <row r="25" ht="15.75" customHeight="1">
      <c r="A25" s="4"/>
      <c r="B25" s="4"/>
      <c r="C25" s="4"/>
      <c r="D25" s="4"/>
      <c r="E25" s="4"/>
      <c r="F25" s="4"/>
      <c r="G25" s="12"/>
      <c r="H25" s="12"/>
      <c r="I25" s="12"/>
      <c r="J25" s="25"/>
      <c r="K25" s="12"/>
      <c r="L25" s="25"/>
      <c r="M25" s="12"/>
      <c r="N25" s="4"/>
      <c r="O25" s="4"/>
      <c r="P25" s="4"/>
    </row>
    <row r="26" ht="15.75" customHeight="1">
      <c r="A26" s="4"/>
      <c r="B26" s="4"/>
      <c r="C26" s="4"/>
      <c r="D26" s="4"/>
      <c r="E26" s="4"/>
      <c r="F26" s="4"/>
      <c r="G26" s="12"/>
      <c r="H26" s="12"/>
      <c r="I26" s="12"/>
      <c r="J26" s="25"/>
      <c r="K26" s="12"/>
      <c r="L26" s="25"/>
      <c r="M26" s="12"/>
      <c r="N26" s="4"/>
      <c r="O26" s="4"/>
      <c r="P26" s="4"/>
    </row>
    <row r="27" ht="15.75" customHeight="1">
      <c r="A27" s="4"/>
      <c r="B27" s="4"/>
      <c r="C27" s="4"/>
      <c r="D27" s="4"/>
      <c r="E27" s="4"/>
      <c r="F27" s="4"/>
      <c r="G27" s="12"/>
      <c r="H27" s="12"/>
      <c r="I27" s="12"/>
      <c r="J27" s="25"/>
      <c r="K27" s="12"/>
      <c r="L27" s="25"/>
      <c r="M27" s="12"/>
      <c r="N27" s="4"/>
      <c r="O27" s="4"/>
      <c r="P27" s="4"/>
    </row>
    <row r="28" ht="15.75" customHeight="1">
      <c r="A28" s="4"/>
      <c r="B28" s="4"/>
      <c r="C28" s="4"/>
      <c r="D28" s="4"/>
      <c r="E28" s="4"/>
      <c r="F28" s="4"/>
      <c r="G28" s="12"/>
      <c r="H28" s="12"/>
      <c r="I28" s="12"/>
      <c r="J28" s="25"/>
      <c r="K28" s="12"/>
      <c r="L28" s="25"/>
      <c r="M28" s="12"/>
      <c r="N28" s="4"/>
      <c r="O28" s="4"/>
      <c r="P28" s="4"/>
    </row>
    <row r="29" ht="15.75" customHeight="1">
      <c r="A29" s="4"/>
      <c r="B29" s="4"/>
      <c r="C29" s="4"/>
      <c r="D29" s="4"/>
      <c r="E29" s="4"/>
      <c r="F29" s="4"/>
      <c r="G29" s="12"/>
      <c r="H29" s="12"/>
      <c r="I29" s="12"/>
      <c r="J29" s="25"/>
      <c r="K29" s="12"/>
      <c r="L29" s="25"/>
      <c r="M29" s="12"/>
      <c r="N29" s="4"/>
      <c r="O29" s="4"/>
      <c r="P29" s="4"/>
    </row>
    <row r="30" ht="15.75" customHeight="1">
      <c r="A30" s="4"/>
      <c r="B30" s="4"/>
      <c r="C30" s="4"/>
      <c r="D30" s="4"/>
      <c r="E30" s="4"/>
      <c r="F30" s="4"/>
      <c r="G30" s="12"/>
      <c r="H30" s="12"/>
      <c r="I30" s="12"/>
      <c r="J30" s="25"/>
      <c r="K30" s="12"/>
      <c r="L30" s="25"/>
      <c r="M30" s="12"/>
      <c r="N30" s="4"/>
      <c r="O30" s="4"/>
      <c r="P30" s="4"/>
    </row>
    <row r="31" ht="15.75" customHeight="1">
      <c r="A31" s="4"/>
      <c r="B31" s="4"/>
      <c r="C31" s="4"/>
      <c r="D31" s="4"/>
      <c r="E31" s="4"/>
      <c r="F31" s="4"/>
      <c r="G31" s="12"/>
      <c r="H31" s="12"/>
      <c r="I31" s="12"/>
      <c r="J31" s="25"/>
      <c r="K31" s="12"/>
      <c r="L31" s="25"/>
      <c r="M31" s="12"/>
      <c r="N31" s="4"/>
      <c r="O31" s="4"/>
      <c r="P31" s="4"/>
    </row>
    <row r="32" ht="15.75" customHeight="1">
      <c r="A32" s="4"/>
      <c r="B32" s="4"/>
      <c r="C32" s="4"/>
      <c r="D32" s="4"/>
      <c r="E32" s="4"/>
      <c r="F32" s="4"/>
      <c r="G32" s="12"/>
      <c r="H32" s="12"/>
      <c r="I32" s="12"/>
      <c r="J32" s="25"/>
      <c r="K32" s="12"/>
      <c r="L32" s="25"/>
      <c r="M32" s="12"/>
      <c r="N32" s="4"/>
      <c r="O32" s="4"/>
      <c r="P32" s="4"/>
    </row>
    <row r="33" ht="15.75" customHeight="1">
      <c r="A33" s="4"/>
      <c r="B33" s="4"/>
      <c r="C33" s="4"/>
      <c r="D33" s="4"/>
      <c r="E33" s="4"/>
      <c r="F33" s="4"/>
      <c r="G33" s="12"/>
      <c r="H33" s="12"/>
      <c r="I33" s="12"/>
      <c r="J33" s="25"/>
      <c r="K33" s="12"/>
      <c r="L33" s="25"/>
      <c r="M33" s="12"/>
      <c r="N33" s="4"/>
      <c r="O33" s="4"/>
      <c r="P33" s="4"/>
    </row>
    <row r="34" ht="15.75" customHeight="1">
      <c r="A34" s="4"/>
      <c r="B34" s="4"/>
      <c r="C34" s="4"/>
      <c r="D34" s="4"/>
      <c r="E34" s="4"/>
      <c r="F34" s="4"/>
      <c r="G34" s="12"/>
      <c r="H34" s="12"/>
      <c r="I34" s="12"/>
      <c r="J34" s="25"/>
      <c r="K34" s="12"/>
      <c r="L34" s="25"/>
      <c r="M34" s="12"/>
      <c r="N34" s="4"/>
      <c r="O34" s="4"/>
      <c r="P34" s="4"/>
    </row>
    <row r="35" ht="15.75" customHeight="1">
      <c r="A35" s="4"/>
      <c r="B35" s="4"/>
      <c r="C35" s="4"/>
      <c r="D35" s="4"/>
      <c r="E35" s="4"/>
      <c r="F35" s="4"/>
      <c r="G35" s="12"/>
      <c r="H35" s="12"/>
      <c r="I35" s="12"/>
      <c r="J35" s="25"/>
      <c r="K35" s="12"/>
      <c r="L35" s="25"/>
      <c r="M35" s="12"/>
      <c r="N35" s="4"/>
      <c r="O35" s="4"/>
      <c r="P35" s="4"/>
    </row>
    <row r="36" ht="15.75" customHeight="1">
      <c r="A36" s="4"/>
      <c r="B36" s="4"/>
      <c r="C36" s="4"/>
      <c r="D36" s="4"/>
      <c r="E36" s="4"/>
      <c r="F36" s="4"/>
      <c r="G36" s="12"/>
      <c r="H36" s="12"/>
      <c r="I36" s="12"/>
      <c r="J36" s="25"/>
      <c r="K36" s="12"/>
      <c r="L36" s="25"/>
      <c r="M36" s="12"/>
      <c r="N36" s="4"/>
      <c r="O36" s="4"/>
      <c r="P36" s="4"/>
    </row>
    <row r="37" ht="15.75" customHeight="1">
      <c r="A37" s="4"/>
      <c r="B37" s="4"/>
      <c r="C37" s="4"/>
      <c r="D37" s="4"/>
      <c r="E37" s="4"/>
      <c r="F37" s="4"/>
      <c r="G37" s="12"/>
      <c r="H37" s="12"/>
      <c r="I37" s="12"/>
      <c r="J37" s="25"/>
      <c r="K37" s="12"/>
      <c r="L37" s="25"/>
      <c r="M37" s="12"/>
      <c r="N37" s="4"/>
      <c r="O37" s="4"/>
      <c r="P37" s="4"/>
    </row>
    <row r="38" ht="15.75" customHeight="1">
      <c r="A38" s="4"/>
      <c r="B38" s="4"/>
      <c r="C38" s="4"/>
      <c r="D38" s="4"/>
      <c r="E38" s="4"/>
      <c r="F38" s="4"/>
      <c r="G38" s="12"/>
      <c r="H38" s="12"/>
      <c r="I38" s="12"/>
      <c r="J38" s="25"/>
      <c r="K38" s="12"/>
      <c r="L38" s="25"/>
      <c r="M38" s="12"/>
      <c r="N38" s="4"/>
      <c r="O38" s="4"/>
      <c r="P38" s="4"/>
    </row>
    <row r="39" ht="15.75" customHeight="1">
      <c r="A39" s="4"/>
      <c r="B39" s="4"/>
      <c r="C39" s="4"/>
      <c r="D39" s="4"/>
      <c r="E39" s="4"/>
      <c r="F39" s="4"/>
      <c r="G39" s="12"/>
      <c r="H39" s="12"/>
      <c r="I39" s="12"/>
      <c r="J39" s="25"/>
      <c r="K39" s="12"/>
      <c r="L39" s="25"/>
      <c r="M39" s="12"/>
      <c r="N39" s="4"/>
      <c r="O39" s="4"/>
      <c r="P39" s="4"/>
    </row>
    <row r="40" ht="15.75" customHeight="1">
      <c r="A40" s="4"/>
      <c r="B40" s="4"/>
      <c r="C40" s="4"/>
      <c r="D40" s="4"/>
      <c r="E40" s="4"/>
      <c r="F40" s="4"/>
      <c r="G40" s="12"/>
      <c r="H40" s="12"/>
      <c r="I40" s="12"/>
      <c r="J40" s="25"/>
      <c r="K40" s="12"/>
      <c r="L40" s="25"/>
      <c r="M40" s="12"/>
      <c r="N40" s="4"/>
      <c r="O40" s="4"/>
      <c r="P40" s="4"/>
    </row>
    <row r="41" ht="15.75" customHeight="1">
      <c r="A41" s="4"/>
      <c r="B41" s="4"/>
      <c r="C41" s="4"/>
      <c r="D41" s="4"/>
      <c r="E41" s="4"/>
      <c r="F41" s="4"/>
      <c r="G41" s="12"/>
      <c r="H41" s="12"/>
      <c r="I41" s="12"/>
      <c r="J41" s="25"/>
      <c r="K41" s="12"/>
      <c r="L41" s="25"/>
      <c r="M41" s="12"/>
      <c r="N41" s="4"/>
      <c r="O41" s="4"/>
      <c r="P41" s="4"/>
    </row>
    <row r="42" ht="15.75" customHeight="1">
      <c r="A42" s="4"/>
      <c r="B42" s="4"/>
      <c r="C42" s="4"/>
      <c r="D42" s="4"/>
      <c r="E42" s="4"/>
      <c r="F42" s="4"/>
      <c r="G42" s="12"/>
      <c r="H42" s="12"/>
      <c r="I42" s="12"/>
      <c r="J42" s="25"/>
      <c r="K42" s="12"/>
      <c r="L42" s="25"/>
      <c r="M42" s="12"/>
      <c r="N42" s="4"/>
      <c r="O42" s="4"/>
      <c r="P42" s="4"/>
    </row>
    <row r="43" ht="15.75" customHeight="1">
      <c r="A43" s="4"/>
      <c r="B43" s="4"/>
      <c r="C43" s="4"/>
      <c r="D43" s="4"/>
      <c r="E43" s="4"/>
      <c r="F43" s="4"/>
      <c r="G43" s="12"/>
      <c r="H43" s="12"/>
      <c r="I43" s="12"/>
      <c r="J43" s="25"/>
      <c r="K43" s="12"/>
      <c r="L43" s="25"/>
      <c r="M43" s="12"/>
      <c r="N43" s="4"/>
      <c r="O43" s="4"/>
      <c r="P43" s="4"/>
    </row>
    <row r="44" ht="15.75" customHeight="1">
      <c r="A44" s="4"/>
      <c r="B44" s="4"/>
      <c r="C44" s="4"/>
      <c r="D44" s="4"/>
      <c r="E44" s="4"/>
      <c r="F44" s="4"/>
      <c r="G44" s="12"/>
      <c r="H44" s="12"/>
      <c r="I44" s="12"/>
      <c r="J44" s="25"/>
      <c r="K44" s="12"/>
      <c r="L44" s="25"/>
      <c r="M44" s="12"/>
      <c r="N44" s="4"/>
      <c r="O44" s="4"/>
      <c r="P44" s="4"/>
    </row>
    <row r="45" ht="15.75" customHeight="1">
      <c r="A45" s="4"/>
      <c r="B45" s="4"/>
      <c r="C45" s="4"/>
      <c r="D45" s="4"/>
      <c r="E45" s="4"/>
      <c r="F45" s="4"/>
      <c r="G45" s="12"/>
      <c r="H45" s="12"/>
      <c r="I45" s="12"/>
      <c r="J45" s="25"/>
      <c r="K45" s="12"/>
      <c r="L45" s="25"/>
      <c r="M45" s="12"/>
      <c r="N45" s="4"/>
      <c r="O45" s="4"/>
      <c r="P45" s="4"/>
    </row>
    <row r="46" ht="15.75" customHeight="1">
      <c r="A46" s="4"/>
      <c r="B46" s="4"/>
      <c r="C46" s="4"/>
      <c r="D46" s="4"/>
      <c r="E46" s="4"/>
      <c r="F46" s="4"/>
      <c r="G46" s="12"/>
      <c r="H46" s="12"/>
      <c r="I46" s="12"/>
      <c r="J46" s="25"/>
      <c r="K46" s="12"/>
      <c r="L46" s="25"/>
      <c r="M46" s="12"/>
      <c r="N46" s="4"/>
      <c r="O46" s="4"/>
      <c r="P46" s="4"/>
    </row>
    <row r="47" ht="15.75" customHeight="1">
      <c r="A47" s="4"/>
      <c r="B47" s="4"/>
      <c r="C47" s="4"/>
      <c r="D47" s="4"/>
      <c r="E47" s="4"/>
      <c r="F47" s="4"/>
      <c r="G47" s="12"/>
      <c r="H47" s="12"/>
      <c r="I47" s="12"/>
      <c r="J47" s="25"/>
      <c r="K47" s="12"/>
      <c r="L47" s="25"/>
      <c r="M47" s="12"/>
      <c r="N47" s="4"/>
      <c r="O47" s="4"/>
      <c r="P47" s="4"/>
    </row>
    <row r="48" ht="15.75" customHeight="1">
      <c r="A48" s="4"/>
      <c r="B48" s="4"/>
      <c r="C48" s="4"/>
      <c r="D48" s="4"/>
      <c r="E48" s="4"/>
      <c r="F48" s="4"/>
      <c r="G48" s="12"/>
      <c r="H48" s="12"/>
      <c r="I48" s="12"/>
      <c r="J48" s="25"/>
      <c r="K48" s="12"/>
      <c r="L48" s="25"/>
      <c r="M48" s="12"/>
      <c r="N48" s="4"/>
      <c r="O48" s="4"/>
      <c r="P48" s="4"/>
    </row>
    <row r="49" ht="15.75" customHeight="1">
      <c r="A49" s="4"/>
      <c r="B49" s="4"/>
      <c r="C49" s="4"/>
      <c r="D49" s="4"/>
      <c r="E49" s="4"/>
      <c r="F49" s="4"/>
      <c r="G49" s="12"/>
      <c r="H49" s="12"/>
      <c r="I49" s="12"/>
      <c r="J49" s="25"/>
      <c r="K49" s="12"/>
      <c r="L49" s="25"/>
      <c r="M49" s="12"/>
      <c r="N49" s="4"/>
      <c r="O49" s="4"/>
      <c r="P49" s="4"/>
    </row>
    <row r="50" ht="15.75" customHeight="1">
      <c r="A50" s="4"/>
      <c r="B50" s="4"/>
      <c r="C50" s="4"/>
      <c r="D50" s="4"/>
      <c r="E50" s="4"/>
      <c r="F50" s="4"/>
      <c r="G50" s="12"/>
      <c r="H50" s="12"/>
      <c r="I50" s="12"/>
      <c r="J50" s="25"/>
      <c r="K50" s="12"/>
      <c r="L50" s="25"/>
      <c r="M50" s="12"/>
      <c r="N50" s="4"/>
      <c r="O50" s="4"/>
      <c r="P50" s="4"/>
    </row>
    <row r="51" ht="15.75" customHeight="1">
      <c r="A51" s="4"/>
      <c r="B51" s="4"/>
      <c r="C51" s="4"/>
      <c r="D51" s="4"/>
      <c r="E51" s="4"/>
      <c r="F51" s="4"/>
      <c r="G51" s="12"/>
      <c r="H51" s="12"/>
      <c r="I51" s="12"/>
      <c r="J51" s="25"/>
      <c r="K51" s="12"/>
      <c r="L51" s="25"/>
      <c r="M51" s="12"/>
      <c r="N51" s="4"/>
      <c r="O51" s="4"/>
      <c r="P51" s="4"/>
    </row>
    <row r="52" ht="15.75" customHeight="1">
      <c r="A52" s="4"/>
      <c r="B52" s="4"/>
      <c r="C52" s="4"/>
      <c r="D52" s="4"/>
      <c r="E52" s="4"/>
      <c r="F52" s="4"/>
      <c r="G52" s="12"/>
      <c r="H52" s="12"/>
      <c r="I52" s="12"/>
      <c r="J52" s="25"/>
      <c r="K52" s="12"/>
      <c r="L52" s="25"/>
      <c r="M52" s="12"/>
      <c r="N52" s="4"/>
      <c r="O52" s="4"/>
      <c r="P52" s="4"/>
    </row>
    <row r="53" ht="15.75" customHeight="1">
      <c r="A53" s="4"/>
      <c r="B53" s="4"/>
      <c r="C53" s="4"/>
      <c r="D53" s="4"/>
      <c r="E53" s="4"/>
      <c r="F53" s="4"/>
      <c r="G53" s="12"/>
      <c r="H53" s="12"/>
      <c r="I53" s="12"/>
      <c r="J53" s="25"/>
      <c r="K53" s="12"/>
      <c r="L53" s="25"/>
      <c r="M53" s="12"/>
      <c r="N53" s="4"/>
      <c r="O53" s="4"/>
      <c r="P53" s="4"/>
    </row>
    <row r="54" ht="15.75" customHeight="1">
      <c r="A54" s="4"/>
      <c r="B54" s="4"/>
      <c r="C54" s="4"/>
      <c r="D54" s="4"/>
      <c r="E54" s="4"/>
      <c r="F54" s="4"/>
      <c r="G54" s="12"/>
      <c r="H54" s="12"/>
      <c r="I54" s="12"/>
      <c r="J54" s="25"/>
      <c r="K54" s="12"/>
      <c r="L54" s="25"/>
      <c r="M54" s="12"/>
      <c r="N54" s="4"/>
      <c r="O54" s="4"/>
      <c r="P54" s="4"/>
    </row>
    <row r="55" ht="15.75" customHeight="1">
      <c r="A55" s="4"/>
      <c r="B55" s="4"/>
      <c r="C55" s="4"/>
      <c r="D55" s="4"/>
      <c r="E55" s="4"/>
      <c r="F55" s="4"/>
      <c r="G55" s="12"/>
      <c r="H55" s="12"/>
      <c r="I55" s="12"/>
      <c r="J55" s="25"/>
      <c r="K55" s="12"/>
      <c r="L55" s="25"/>
      <c r="M55" s="12"/>
      <c r="N55" s="4"/>
      <c r="O55" s="4"/>
      <c r="P55" s="4"/>
    </row>
    <row r="56" ht="15.75" customHeight="1">
      <c r="A56" s="4"/>
      <c r="B56" s="4"/>
      <c r="C56" s="4"/>
      <c r="D56" s="4"/>
      <c r="E56" s="4"/>
      <c r="F56" s="4"/>
      <c r="G56" s="12"/>
      <c r="H56" s="12"/>
      <c r="I56" s="12"/>
      <c r="J56" s="25"/>
      <c r="K56" s="12"/>
      <c r="L56" s="25"/>
      <c r="M56" s="12"/>
      <c r="N56" s="4"/>
      <c r="O56" s="4"/>
      <c r="P56" s="4"/>
    </row>
    <row r="57" ht="15.75" customHeight="1">
      <c r="A57" s="4"/>
      <c r="B57" s="4"/>
      <c r="C57" s="4"/>
      <c r="D57" s="4"/>
      <c r="E57" s="4"/>
      <c r="F57" s="4"/>
      <c r="G57" s="12"/>
      <c r="H57" s="12"/>
      <c r="I57" s="12"/>
      <c r="J57" s="25"/>
      <c r="K57" s="12"/>
      <c r="L57" s="25"/>
      <c r="M57" s="12"/>
      <c r="N57" s="4"/>
      <c r="O57" s="4"/>
      <c r="P57" s="4"/>
    </row>
    <row r="58" ht="15.75" customHeight="1">
      <c r="A58" s="4"/>
      <c r="B58" s="4"/>
      <c r="C58" s="4"/>
      <c r="D58" s="4"/>
      <c r="E58" s="4"/>
      <c r="F58" s="4"/>
      <c r="G58" s="12"/>
      <c r="H58" s="12"/>
      <c r="I58" s="12"/>
      <c r="J58" s="25"/>
      <c r="K58" s="12"/>
      <c r="L58" s="25"/>
      <c r="M58" s="12"/>
      <c r="N58" s="4"/>
      <c r="O58" s="4"/>
      <c r="P58" s="4"/>
    </row>
    <row r="59" ht="15.75" customHeight="1">
      <c r="A59" s="4"/>
      <c r="B59" s="4"/>
      <c r="C59" s="4"/>
      <c r="D59" s="4"/>
      <c r="E59" s="4"/>
      <c r="F59" s="4"/>
      <c r="G59" s="12"/>
      <c r="H59" s="12"/>
      <c r="I59" s="12"/>
      <c r="J59" s="25"/>
      <c r="K59" s="12"/>
      <c r="L59" s="25"/>
      <c r="M59" s="12"/>
      <c r="N59" s="4"/>
      <c r="O59" s="4"/>
      <c r="P59" s="4"/>
    </row>
    <row r="60" ht="15.75" customHeight="1">
      <c r="A60" s="4"/>
      <c r="B60" s="4"/>
      <c r="C60" s="4"/>
      <c r="D60" s="4"/>
      <c r="E60" s="4"/>
      <c r="F60" s="4"/>
      <c r="G60" s="12"/>
      <c r="H60" s="12"/>
      <c r="I60" s="12"/>
      <c r="J60" s="25"/>
      <c r="K60" s="12"/>
      <c r="L60" s="25"/>
      <c r="M60" s="12"/>
      <c r="N60" s="4"/>
      <c r="O60" s="4"/>
      <c r="P60" s="4"/>
    </row>
    <row r="61" ht="15.75" customHeight="1">
      <c r="A61" s="4"/>
      <c r="B61" s="4"/>
      <c r="C61" s="4"/>
      <c r="D61" s="4"/>
      <c r="E61" s="4"/>
      <c r="F61" s="4"/>
      <c r="G61" s="12"/>
      <c r="H61" s="12"/>
      <c r="I61" s="12"/>
      <c r="J61" s="25"/>
      <c r="K61" s="12"/>
      <c r="L61" s="25"/>
      <c r="M61" s="12"/>
      <c r="N61" s="4"/>
      <c r="O61" s="4"/>
      <c r="P61" s="4"/>
    </row>
    <row r="62" ht="15.75" customHeight="1">
      <c r="A62" s="4"/>
      <c r="B62" s="4"/>
      <c r="C62" s="4"/>
      <c r="D62" s="4"/>
      <c r="E62" s="4"/>
      <c r="F62" s="4"/>
      <c r="G62" s="12"/>
      <c r="H62" s="12"/>
      <c r="I62" s="12"/>
      <c r="J62" s="25"/>
      <c r="K62" s="12"/>
      <c r="L62" s="25"/>
      <c r="M62" s="12"/>
      <c r="N62" s="4"/>
      <c r="O62" s="4"/>
      <c r="P62" s="4"/>
    </row>
    <row r="63" ht="15.75" customHeight="1">
      <c r="A63" s="4"/>
      <c r="B63" s="4"/>
      <c r="C63" s="4"/>
      <c r="D63" s="4"/>
      <c r="E63" s="4"/>
      <c r="F63" s="4"/>
      <c r="G63" s="12"/>
      <c r="H63" s="12"/>
      <c r="I63" s="12"/>
      <c r="J63" s="25"/>
      <c r="K63" s="12"/>
      <c r="L63" s="25"/>
      <c r="M63" s="12"/>
      <c r="N63" s="4"/>
      <c r="O63" s="4"/>
      <c r="P63" s="4"/>
    </row>
    <row r="64" ht="15.75" customHeight="1">
      <c r="A64" s="4"/>
      <c r="B64" s="4"/>
      <c r="C64" s="4"/>
      <c r="D64" s="4"/>
      <c r="E64" s="4"/>
      <c r="F64" s="4"/>
      <c r="G64" s="12"/>
      <c r="H64" s="12"/>
      <c r="I64" s="12"/>
      <c r="J64" s="25"/>
      <c r="K64" s="12"/>
      <c r="L64" s="25"/>
      <c r="M64" s="12"/>
      <c r="N64" s="4"/>
      <c r="O64" s="4"/>
      <c r="P64" s="4"/>
    </row>
    <row r="65" ht="15.75" customHeight="1">
      <c r="A65" s="4"/>
      <c r="B65" s="4"/>
      <c r="C65" s="4"/>
      <c r="D65" s="4"/>
      <c r="E65" s="4"/>
      <c r="F65" s="4"/>
      <c r="G65" s="12"/>
      <c r="H65" s="12"/>
      <c r="I65" s="12"/>
      <c r="J65" s="25"/>
      <c r="K65" s="12"/>
      <c r="L65" s="25"/>
      <c r="M65" s="12"/>
      <c r="N65" s="4"/>
      <c r="O65" s="4"/>
      <c r="P65" s="4"/>
    </row>
    <row r="66" ht="15.75" customHeight="1">
      <c r="A66" s="4"/>
      <c r="B66" s="4"/>
      <c r="C66" s="4"/>
      <c r="D66" s="4"/>
      <c r="E66" s="4"/>
      <c r="F66" s="4"/>
      <c r="G66" s="12"/>
      <c r="H66" s="12"/>
      <c r="I66" s="12"/>
      <c r="J66" s="25"/>
      <c r="K66" s="12"/>
      <c r="L66" s="25"/>
      <c r="M66" s="12"/>
      <c r="N66" s="4"/>
      <c r="O66" s="4"/>
      <c r="P66" s="4"/>
    </row>
    <row r="67" ht="15.75" customHeight="1">
      <c r="A67" s="4"/>
      <c r="B67" s="4"/>
      <c r="C67" s="4"/>
      <c r="D67" s="4"/>
      <c r="E67" s="4"/>
      <c r="F67" s="4"/>
      <c r="G67" s="12"/>
      <c r="H67" s="12"/>
      <c r="I67" s="12"/>
      <c r="J67" s="25"/>
      <c r="K67" s="12"/>
      <c r="L67" s="25"/>
      <c r="M67" s="12"/>
      <c r="N67" s="4"/>
      <c r="O67" s="4"/>
      <c r="P67" s="4"/>
    </row>
    <row r="68" ht="15.75" customHeight="1">
      <c r="A68" s="4"/>
      <c r="B68" s="4"/>
      <c r="C68" s="4"/>
      <c r="D68" s="4"/>
      <c r="E68" s="4"/>
      <c r="F68" s="4"/>
      <c r="G68" s="12"/>
      <c r="H68" s="12"/>
      <c r="I68" s="12"/>
      <c r="J68" s="25"/>
      <c r="K68" s="12"/>
      <c r="L68" s="25"/>
      <c r="M68" s="12"/>
      <c r="N68" s="4"/>
      <c r="O68" s="4"/>
      <c r="P68" s="4"/>
    </row>
    <row r="69" ht="15.75" customHeight="1">
      <c r="A69" s="4"/>
      <c r="B69" s="4"/>
      <c r="C69" s="4"/>
      <c r="D69" s="4"/>
      <c r="E69" s="4"/>
      <c r="F69" s="4"/>
      <c r="G69" s="12"/>
      <c r="H69" s="12"/>
      <c r="I69" s="12"/>
      <c r="J69" s="25"/>
      <c r="K69" s="12"/>
      <c r="L69" s="25"/>
      <c r="M69" s="12"/>
      <c r="N69" s="4"/>
      <c r="O69" s="4"/>
      <c r="P69" s="4"/>
    </row>
    <row r="70" ht="15.75" customHeight="1">
      <c r="A70" s="4"/>
      <c r="B70" s="4"/>
      <c r="C70" s="4"/>
      <c r="D70" s="4"/>
      <c r="E70" s="4"/>
      <c r="F70" s="4"/>
      <c r="G70" s="12"/>
      <c r="H70" s="12"/>
      <c r="I70" s="12"/>
      <c r="J70" s="25"/>
      <c r="K70" s="12"/>
      <c r="L70" s="25"/>
      <c r="M70" s="12"/>
      <c r="N70" s="4"/>
      <c r="O70" s="4"/>
      <c r="P70" s="4"/>
    </row>
    <row r="71" ht="15.75" customHeight="1">
      <c r="A71" s="4"/>
      <c r="B71" s="4"/>
      <c r="C71" s="4"/>
      <c r="D71" s="4"/>
      <c r="E71" s="4"/>
      <c r="F71" s="4"/>
      <c r="G71" s="12"/>
      <c r="H71" s="12"/>
      <c r="I71" s="12"/>
      <c r="J71" s="25"/>
      <c r="K71" s="12"/>
      <c r="L71" s="25"/>
      <c r="M71" s="12"/>
      <c r="N71" s="4"/>
      <c r="O71" s="4"/>
      <c r="P71" s="4"/>
    </row>
    <row r="72" ht="15.75" customHeight="1">
      <c r="A72" s="4"/>
      <c r="B72" s="4"/>
      <c r="C72" s="4"/>
      <c r="D72" s="4"/>
      <c r="E72" s="4"/>
      <c r="F72" s="4"/>
      <c r="G72" s="12"/>
      <c r="H72" s="12"/>
      <c r="I72" s="12"/>
      <c r="J72" s="25"/>
      <c r="K72" s="12"/>
      <c r="L72" s="25"/>
      <c r="M72" s="12"/>
      <c r="N72" s="4"/>
      <c r="O72" s="4"/>
      <c r="P72" s="4"/>
    </row>
    <row r="73" ht="15.75" customHeight="1">
      <c r="A73" s="4"/>
      <c r="B73" s="4"/>
      <c r="C73" s="4"/>
      <c r="D73" s="4"/>
      <c r="E73" s="4"/>
      <c r="F73" s="4"/>
      <c r="G73" s="12"/>
      <c r="H73" s="12"/>
      <c r="I73" s="12"/>
      <c r="J73" s="25"/>
      <c r="K73" s="12"/>
      <c r="L73" s="25"/>
      <c r="M73" s="12"/>
      <c r="N73" s="4"/>
      <c r="O73" s="4"/>
      <c r="P73" s="4"/>
    </row>
    <row r="74" ht="15.75" customHeight="1">
      <c r="A74" s="4"/>
      <c r="B74" s="4"/>
      <c r="C74" s="4"/>
      <c r="D74" s="4"/>
      <c r="E74" s="4"/>
      <c r="F74" s="4"/>
      <c r="G74" s="12"/>
      <c r="H74" s="12"/>
      <c r="I74" s="12"/>
      <c r="J74" s="25"/>
      <c r="K74" s="12"/>
      <c r="L74" s="25"/>
      <c r="M74" s="12"/>
      <c r="N74" s="4"/>
      <c r="O74" s="4"/>
      <c r="P74" s="4"/>
    </row>
    <row r="75" ht="15.75" customHeight="1">
      <c r="A75" s="4"/>
      <c r="B75" s="4"/>
      <c r="C75" s="4"/>
      <c r="D75" s="4"/>
      <c r="E75" s="4"/>
      <c r="F75" s="4"/>
      <c r="G75" s="12"/>
      <c r="H75" s="12"/>
      <c r="I75" s="12"/>
      <c r="J75" s="25"/>
      <c r="K75" s="12"/>
      <c r="L75" s="25"/>
      <c r="M75" s="12"/>
      <c r="N75" s="4"/>
      <c r="O75" s="4"/>
      <c r="P75" s="4"/>
    </row>
    <row r="76" ht="15.75" customHeight="1">
      <c r="A76" s="4"/>
      <c r="B76" s="4"/>
      <c r="C76" s="4"/>
      <c r="D76" s="4"/>
      <c r="E76" s="4"/>
      <c r="F76" s="4"/>
      <c r="G76" s="12"/>
      <c r="H76" s="12"/>
      <c r="I76" s="12"/>
      <c r="J76" s="25"/>
      <c r="K76" s="12"/>
      <c r="L76" s="25"/>
      <c r="M76" s="12"/>
      <c r="N76" s="4"/>
      <c r="O76" s="4"/>
      <c r="P76" s="4"/>
    </row>
    <row r="77" ht="15.75" customHeight="1">
      <c r="A77" s="4"/>
      <c r="B77" s="4"/>
      <c r="C77" s="4"/>
      <c r="D77" s="4"/>
      <c r="E77" s="4"/>
      <c r="F77" s="4"/>
      <c r="G77" s="12"/>
      <c r="H77" s="12"/>
      <c r="I77" s="12"/>
      <c r="J77" s="25"/>
      <c r="K77" s="12"/>
      <c r="L77" s="25"/>
      <c r="M77" s="12"/>
      <c r="N77" s="4"/>
      <c r="O77" s="4"/>
      <c r="P77" s="4"/>
    </row>
    <row r="78" ht="15.75" customHeight="1">
      <c r="A78" s="4"/>
      <c r="B78" s="4"/>
      <c r="C78" s="4"/>
      <c r="D78" s="4"/>
      <c r="E78" s="4"/>
      <c r="F78" s="4"/>
      <c r="G78" s="12"/>
      <c r="H78" s="12"/>
      <c r="I78" s="12"/>
      <c r="J78" s="25"/>
      <c r="K78" s="12"/>
      <c r="L78" s="25"/>
      <c r="M78" s="12"/>
      <c r="N78" s="4"/>
      <c r="O78" s="4"/>
      <c r="P78" s="4"/>
    </row>
    <row r="79" ht="15.75" customHeight="1">
      <c r="A79" s="4"/>
      <c r="B79" s="4"/>
      <c r="C79" s="4"/>
      <c r="D79" s="4"/>
      <c r="E79" s="4"/>
      <c r="F79" s="4"/>
      <c r="G79" s="12"/>
      <c r="H79" s="12"/>
      <c r="I79" s="12"/>
      <c r="J79" s="25"/>
      <c r="K79" s="12"/>
      <c r="L79" s="25"/>
      <c r="M79" s="12"/>
      <c r="N79" s="4"/>
      <c r="O79" s="4"/>
      <c r="P79" s="4"/>
    </row>
    <row r="80" ht="15.75" customHeight="1">
      <c r="A80" s="4"/>
      <c r="B80" s="4"/>
      <c r="C80" s="4"/>
      <c r="D80" s="4"/>
      <c r="E80" s="4"/>
      <c r="F80" s="4"/>
      <c r="G80" s="12"/>
      <c r="H80" s="12"/>
      <c r="I80" s="12"/>
      <c r="J80" s="25"/>
      <c r="K80" s="12"/>
      <c r="L80" s="25"/>
      <c r="M80" s="12"/>
      <c r="N80" s="4"/>
      <c r="O80" s="4"/>
      <c r="P80" s="4"/>
    </row>
    <row r="81" ht="15.75" customHeight="1">
      <c r="A81" s="4"/>
      <c r="B81" s="4"/>
      <c r="C81" s="4"/>
      <c r="D81" s="4"/>
      <c r="E81" s="4"/>
      <c r="F81" s="4"/>
      <c r="G81" s="12"/>
      <c r="H81" s="12"/>
      <c r="I81" s="12"/>
      <c r="J81" s="25"/>
      <c r="K81" s="12"/>
      <c r="L81" s="25"/>
      <c r="M81" s="12"/>
      <c r="N81" s="4"/>
      <c r="O81" s="4"/>
      <c r="P81" s="4"/>
    </row>
    <row r="82" ht="15.75" customHeight="1">
      <c r="A82" s="4"/>
      <c r="B82" s="4"/>
      <c r="C82" s="4"/>
      <c r="D82" s="4"/>
      <c r="E82" s="4"/>
      <c r="F82" s="4"/>
      <c r="G82" s="12"/>
      <c r="H82" s="12"/>
      <c r="I82" s="12"/>
      <c r="J82" s="25"/>
      <c r="K82" s="12"/>
      <c r="L82" s="25"/>
      <c r="M82" s="12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G83" s="12"/>
      <c r="H83" s="12"/>
      <c r="I83" s="12"/>
      <c r="J83" s="25"/>
      <c r="K83" s="12"/>
      <c r="L83" s="25"/>
      <c r="M83" s="12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G84" s="12"/>
      <c r="H84" s="12"/>
      <c r="I84" s="12"/>
      <c r="J84" s="25"/>
      <c r="K84" s="12"/>
      <c r="L84" s="25"/>
      <c r="M84" s="12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G85" s="12"/>
      <c r="H85" s="12"/>
      <c r="I85" s="12"/>
      <c r="J85" s="25"/>
      <c r="K85" s="12"/>
      <c r="L85" s="25"/>
      <c r="M85" s="12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G86" s="12"/>
      <c r="H86" s="12"/>
      <c r="I86" s="12"/>
      <c r="J86" s="25"/>
      <c r="K86" s="12"/>
      <c r="L86" s="25"/>
      <c r="M86" s="12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G87" s="12"/>
      <c r="H87" s="12"/>
      <c r="I87" s="12"/>
      <c r="J87" s="25"/>
      <c r="K87" s="12"/>
      <c r="L87" s="25"/>
      <c r="M87" s="12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G88" s="12"/>
      <c r="H88" s="12"/>
      <c r="I88" s="12"/>
      <c r="J88" s="25"/>
      <c r="K88" s="12"/>
      <c r="L88" s="25"/>
      <c r="M88" s="12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G89" s="12"/>
      <c r="H89" s="12"/>
      <c r="I89" s="12"/>
      <c r="J89" s="25"/>
      <c r="K89" s="12"/>
      <c r="L89" s="25"/>
      <c r="M89" s="12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G90" s="12"/>
      <c r="H90" s="12"/>
      <c r="I90" s="12"/>
      <c r="J90" s="25"/>
      <c r="K90" s="12"/>
      <c r="L90" s="25"/>
      <c r="M90" s="12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G91" s="12"/>
      <c r="H91" s="12"/>
      <c r="I91" s="12"/>
      <c r="J91" s="25"/>
      <c r="K91" s="12"/>
      <c r="L91" s="25"/>
      <c r="M91" s="12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G92" s="12"/>
      <c r="H92" s="12"/>
      <c r="I92" s="12"/>
      <c r="J92" s="25"/>
      <c r="K92" s="12"/>
      <c r="L92" s="25"/>
      <c r="M92" s="12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G93" s="12"/>
      <c r="H93" s="12"/>
      <c r="I93" s="12"/>
      <c r="J93" s="25"/>
      <c r="K93" s="12"/>
      <c r="L93" s="25"/>
      <c r="M93" s="12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G94" s="12"/>
      <c r="H94" s="12"/>
      <c r="I94" s="12"/>
      <c r="J94" s="25"/>
      <c r="K94" s="12"/>
      <c r="L94" s="25"/>
      <c r="M94" s="12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G95" s="12"/>
      <c r="H95" s="12"/>
      <c r="I95" s="12"/>
      <c r="J95" s="25"/>
      <c r="K95" s="12"/>
      <c r="L95" s="25"/>
      <c r="M95" s="12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G96" s="12"/>
      <c r="H96" s="12"/>
      <c r="I96" s="12"/>
      <c r="J96" s="25"/>
      <c r="K96" s="12"/>
      <c r="L96" s="25"/>
      <c r="M96" s="12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G97" s="12"/>
      <c r="H97" s="12"/>
      <c r="I97" s="12"/>
      <c r="J97" s="25"/>
      <c r="K97" s="12"/>
      <c r="L97" s="25"/>
      <c r="M97" s="12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G98" s="12"/>
      <c r="H98" s="12"/>
      <c r="I98" s="12"/>
      <c r="J98" s="25"/>
      <c r="K98" s="12"/>
      <c r="L98" s="25"/>
      <c r="M98" s="12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G99" s="12"/>
      <c r="H99" s="12"/>
      <c r="I99" s="12"/>
      <c r="J99" s="25"/>
      <c r="K99" s="12"/>
      <c r="L99" s="25"/>
      <c r="M99" s="12"/>
      <c r="N99" s="4"/>
      <c r="O99" s="4"/>
      <c r="P99" s="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4" width="16.0"/>
    <col customWidth="1" min="5" max="5" width="30.0"/>
    <col customWidth="1" min="6" max="6" width="10.0"/>
    <col customWidth="1" min="7" max="11" width="14.0"/>
    <col customWidth="1" min="12" max="12" width="26.0"/>
    <col customWidth="1" min="13" max="26" width="8.71"/>
  </cols>
  <sheetData>
    <row r="1" ht="27.75" customHeight="1">
      <c r="A1" s="1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18" t="s">
        <v>36</v>
      </c>
      <c r="B2" s="18" t="s">
        <v>269</v>
      </c>
      <c r="C2" s="18" t="s">
        <v>270</v>
      </c>
      <c r="D2" s="18" t="s">
        <v>193</v>
      </c>
      <c r="E2" s="18" t="s">
        <v>17</v>
      </c>
      <c r="F2" s="18" t="s">
        <v>46</v>
      </c>
      <c r="G2" s="18" t="s">
        <v>49</v>
      </c>
      <c r="H2" s="18" t="s">
        <v>199</v>
      </c>
      <c r="I2" s="18" t="s">
        <v>271</v>
      </c>
      <c r="J2" s="18" t="s">
        <v>272</v>
      </c>
      <c r="K2" s="18" t="s">
        <v>273</v>
      </c>
      <c r="L2" s="18" t="s">
        <v>274</v>
      </c>
    </row>
    <row r="3">
      <c r="A3" s="24">
        <v>46143.0</v>
      </c>
      <c r="B3" s="19" t="s">
        <v>232</v>
      </c>
      <c r="C3" s="19" t="s">
        <v>275</v>
      </c>
      <c r="D3" s="19" t="s">
        <v>229</v>
      </c>
      <c r="E3" s="19" t="str">
        <f>VLOOKUP(D3,Productos!$A:$P,4,FALSE)</f>
        <v>Huevos Primera bandeja 30 un</v>
      </c>
      <c r="F3" s="19">
        <v>35.0</v>
      </c>
      <c r="G3" s="22">
        <f>VLOOKUP(D3,Productos!$A:$P,7,FALSE)</f>
        <v>6100</v>
      </c>
      <c r="H3" s="22">
        <f>VLOOKUP(D3,Productos!$A:$P,8,FALSE)</f>
        <v>200</v>
      </c>
      <c r="I3" s="22">
        <f t="shared" ref="I3:I10" si="1">F3*(G3+H3)</f>
        <v>220500</v>
      </c>
      <c r="J3" s="19" t="s">
        <v>276</v>
      </c>
      <c r="K3" s="19" t="s">
        <v>277</v>
      </c>
      <c r="L3" s="19" t="s">
        <v>278</v>
      </c>
    </row>
    <row r="4">
      <c r="A4" s="24">
        <v>46143.0</v>
      </c>
      <c r="B4" s="19" t="s">
        <v>232</v>
      </c>
      <c r="C4" s="19" t="s">
        <v>275</v>
      </c>
      <c r="D4" s="19" t="s">
        <v>235</v>
      </c>
      <c r="E4" s="19" t="str">
        <f>VLOOKUP(D4,Productos!$A:$P,4,FALSE)</f>
        <v>Huevos Extra caja 180 un</v>
      </c>
      <c r="F4" s="19">
        <v>8.0</v>
      </c>
      <c r="G4" s="22">
        <f>VLOOKUP(D4,Productos!$A:$P,7,FALSE)</f>
        <v>39500</v>
      </c>
      <c r="H4" s="22">
        <f>VLOOKUP(D4,Productos!$A:$P,8,FALSE)</f>
        <v>800</v>
      </c>
      <c r="I4" s="22">
        <f t="shared" si="1"/>
        <v>322400</v>
      </c>
      <c r="J4" s="19" t="s">
        <v>276</v>
      </c>
      <c r="K4" s="19" t="s">
        <v>277</v>
      </c>
      <c r="L4" s="19" t="s">
        <v>279</v>
      </c>
    </row>
    <row r="5">
      <c r="A5" s="24">
        <v>46144.0</v>
      </c>
      <c r="B5" s="19" t="s">
        <v>280</v>
      </c>
      <c r="C5" s="19" t="s">
        <v>281</v>
      </c>
      <c r="D5" s="19" t="s">
        <v>219</v>
      </c>
      <c r="E5" s="19" t="str">
        <f>VLOOKUP(D5,Productos!$A:$P,4,FALSE)</f>
        <v>Energética Score Gorilla 735 ml</v>
      </c>
      <c r="F5" s="19">
        <v>120.0</v>
      </c>
      <c r="G5" s="22">
        <f>VLOOKUP(D5,Productos!$A:$P,7,FALSE)</f>
        <v>760</v>
      </c>
      <c r="H5" s="22">
        <f>VLOOKUP(D5,Productos!$A:$P,8,FALSE)</f>
        <v>60</v>
      </c>
      <c r="I5" s="22">
        <f t="shared" si="1"/>
        <v>98400</v>
      </c>
      <c r="J5" s="19" t="s">
        <v>276</v>
      </c>
      <c r="K5" s="19" t="s">
        <v>282</v>
      </c>
      <c r="L5" s="19" t="s">
        <v>283</v>
      </c>
    </row>
    <row r="6">
      <c r="A6" s="24">
        <v>46144.0</v>
      </c>
      <c r="B6" s="19" t="s">
        <v>280</v>
      </c>
      <c r="C6" s="19" t="s">
        <v>281</v>
      </c>
      <c r="D6" s="19" t="s">
        <v>227</v>
      </c>
      <c r="E6" s="19" t="str">
        <f>VLOOKUP(D6,Productos!$A:$P,4,FALSE)</f>
        <v>Agua pack 6 unidades</v>
      </c>
      <c r="F6" s="19">
        <v>40.0</v>
      </c>
      <c r="G6" s="22">
        <f>VLOOKUP(D6,Productos!$A:$P,7,FALSE)</f>
        <v>2350</v>
      </c>
      <c r="H6" s="22">
        <f>VLOOKUP(D6,Productos!$A:$P,8,FALSE)</f>
        <v>150</v>
      </c>
      <c r="I6" s="22">
        <f t="shared" si="1"/>
        <v>100000</v>
      </c>
      <c r="J6" s="19" t="s">
        <v>276</v>
      </c>
      <c r="K6" s="19" t="s">
        <v>282</v>
      </c>
      <c r="L6" s="19" t="s">
        <v>284</v>
      </c>
    </row>
    <row r="7">
      <c r="A7" s="24">
        <v>46145.0</v>
      </c>
      <c r="B7" s="19" t="s">
        <v>247</v>
      </c>
      <c r="C7" s="19" t="s">
        <v>285</v>
      </c>
      <c r="D7" s="19" t="s">
        <v>243</v>
      </c>
      <c r="E7" s="19" t="str">
        <f>VLOOKUP(D7,Productos!$A:$P,4,FALSE)</f>
        <v>Carbón bolsa 2.5 kg</v>
      </c>
      <c r="F7" s="19">
        <v>220.0</v>
      </c>
      <c r="G7" s="22">
        <f>VLOOKUP(D7,Productos!$A:$P,7,FALSE)</f>
        <v>1050</v>
      </c>
      <c r="H7" s="22">
        <f>VLOOKUP(D7,Productos!$A:$P,8,FALSE)</f>
        <v>80</v>
      </c>
      <c r="I7" s="22">
        <f t="shared" si="1"/>
        <v>248600</v>
      </c>
      <c r="J7" s="19" t="s">
        <v>276</v>
      </c>
      <c r="K7" s="19" t="s">
        <v>286</v>
      </c>
      <c r="L7" s="19" t="s">
        <v>287</v>
      </c>
    </row>
    <row r="8">
      <c r="A8" s="24">
        <v>46146.0</v>
      </c>
      <c r="B8" s="19" t="s">
        <v>288</v>
      </c>
      <c r="C8" s="19" t="s">
        <v>289</v>
      </c>
      <c r="D8" s="19" t="s">
        <v>207</v>
      </c>
      <c r="E8" s="19" t="str">
        <f>VLOOKUP(D8,Productos!$A:$P,4,FALSE)</f>
        <v>Papel Higiénico 4 rollos</v>
      </c>
      <c r="F8" s="19">
        <v>90.0</v>
      </c>
      <c r="G8" s="22">
        <f>VLOOKUP(D8,Productos!$A:$P,7,FALSE)</f>
        <v>1850</v>
      </c>
      <c r="H8" s="22">
        <f>VLOOKUP(D8,Productos!$A:$P,8,FALSE)</f>
        <v>120</v>
      </c>
      <c r="I8" s="22">
        <f t="shared" si="1"/>
        <v>177300</v>
      </c>
      <c r="J8" s="19" t="s">
        <v>276</v>
      </c>
      <c r="K8" s="19" t="s">
        <v>290</v>
      </c>
      <c r="L8" s="19" t="s">
        <v>210</v>
      </c>
    </row>
    <row r="9">
      <c r="A9" s="24">
        <v>46146.0</v>
      </c>
      <c r="B9" s="19" t="s">
        <v>288</v>
      </c>
      <c r="C9" s="19" t="s">
        <v>289</v>
      </c>
      <c r="D9" s="19" t="s">
        <v>216</v>
      </c>
      <c r="E9" s="19" t="str">
        <f>VLOOKUP(D9,Productos!$A:$P,4,FALSE)</f>
        <v>Nova Toalla Papel 2 rollos</v>
      </c>
      <c r="F9" s="19">
        <v>60.0</v>
      </c>
      <c r="G9" s="22">
        <f>VLOOKUP(D9,Productos!$A:$P,7,FALSE)</f>
        <v>1450</v>
      </c>
      <c r="H9" s="22">
        <f>VLOOKUP(D9,Productos!$A:$P,8,FALSE)</f>
        <v>80</v>
      </c>
      <c r="I9" s="22">
        <f t="shared" si="1"/>
        <v>91800</v>
      </c>
      <c r="J9" s="19" t="s">
        <v>276</v>
      </c>
      <c r="K9" s="19" t="s">
        <v>290</v>
      </c>
      <c r="L9" s="19" t="s">
        <v>218</v>
      </c>
    </row>
    <row r="10">
      <c r="A10" s="24">
        <v>46147.0</v>
      </c>
      <c r="B10" s="19" t="s">
        <v>258</v>
      </c>
      <c r="C10" s="19" t="s">
        <v>291</v>
      </c>
      <c r="D10" s="19" t="s">
        <v>255</v>
      </c>
      <c r="E10" s="19" t="str">
        <f>VLOOKUP(D10,Productos!$A:$P,4,FALSE)</f>
        <v>Pellet saco 15 kg</v>
      </c>
      <c r="F10" s="19">
        <v>100.0</v>
      </c>
      <c r="G10" s="22">
        <f>VLOOKUP(D10,Productos!$A:$P,7,FALSE)</f>
        <v>2700</v>
      </c>
      <c r="H10" s="22">
        <f>VLOOKUP(D10,Productos!$A:$P,8,FALSE)</f>
        <v>160</v>
      </c>
      <c r="I10" s="22">
        <f t="shared" si="1"/>
        <v>286000</v>
      </c>
      <c r="J10" s="19" t="s">
        <v>292</v>
      </c>
      <c r="K10" s="19" t="s">
        <v>293</v>
      </c>
      <c r="L10" s="19" t="s">
        <v>294</v>
      </c>
    </row>
    <row r="11">
      <c r="A11" s="26"/>
      <c r="B11" s="4"/>
      <c r="C11" s="4"/>
      <c r="D11" s="4"/>
      <c r="E11" s="4"/>
      <c r="F11" s="4"/>
      <c r="G11" s="12"/>
      <c r="H11" s="12"/>
      <c r="I11" s="12"/>
      <c r="J11" s="4"/>
      <c r="K11" s="4"/>
      <c r="L11" s="4"/>
    </row>
    <row r="12">
      <c r="A12" s="26"/>
      <c r="B12" s="4"/>
      <c r="C12" s="4"/>
      <c r="D12" s="4"/>
      <c r="E12" s="4"/>
      <c r="F12" s="4"/>
      <c r="G12" s="12"/>
      <c r="H12" s="12"/>
      <c r="I12" s="12"/>
      <c r="J12" s="4"/>
      <c r="K12" s="4"/>
      <c r="L12" s="4"/>
    </row>
    <row r="13">
      <c r="A13" s="26"/>
      <c r="B13" s="4"/>
      <c r="C13" s="4"/>
      <c r="D13" s="4"/>
      <c r="E13" s="4"/>
      <c r="F13" s="4"/>
      <c r="G13" s="12"/>
      <c r="H13" s="12"/>
      <c r="I13" s="12"/>
      <c r="J13" s="4"/>
      <c r="K13" s="4"/>
      <c r="L13" s="4"/>
    </row>
    <row r="14">
      <c r="A14" s="26"/>
      <c r="B14" s="4"/>
      <c r="C14" s="4"/>
      <c r="D14" s="4"/>
      <c r="E14" s="4"/>
      <c r="F14" s="4"/>
      <c r="G14" s="12"/>
      <c r="H14" s="12"/>
      <c r="I14" s="12"/>
      <c r="J14" s="4"/>
      <c r="K14" s="4"/>
      <c r="L14" s="4"/>
    </row>
    <row r="15">
      <c r="A15" s="26"/>
      <c r="B15" s="4"/>
      <c r="C15" s="4"/>
      <c r="D15" s="4"/>
      <c r="E15" s="4"/>
      <c r="F15" s="4"/>
      <c r="G15" s="12"/>
      <c r="H15" s="12"/>
      <c r="I15" s="12"/>
      <c r="J15" s="4"/>
      <c r="K15" s="4"/>
      <c r="L15" s="4"/>
    </row>
    <row r="16">
      <c r="A16" s="26"/>
      <c r="B16" s="4"/>
      <c r="C16" s="4"/>
      <c r="D16" s="4"/>
      <c r="E16" s="4"/>
      <c r="F16" s="4"/>
      <c r="G16" s="12"/>
      <c r="H16" s="12"/>
      <c r="I16" s="12"/>
      <c r="J16" s="4"/>
      <c r="K16" s="4"/>
      <c r="L16" s="4"/>
    </row>
    <row r="17">
      <c r="A17" s="26"/>
      <c r="B17" s="4"/>
      <c r="C17" s="4"/>
      <c r="D17" s="4"/>
      <c r="E17" s="4"/>
      <c r="F17" s="4"/>
      <c r="G17" s="12"/>
      <c r="H17" s="12"/>
      <c r="I17" s="12"/>
      <c r="J17" s="4"/>
      <c r="K17" s="4"/>
      <c r="L17" s="4"/>
    </row>
    <row r="18">
      <c r="A18" s="26"/>
      <c r="B18" s="4"/>
      <c r="C18" s="4"/>
      <c r="D18" s="4"/>
      <c r="E18" s="4"/>
      <c r="F18" s="4"/>
      <c r="G18" s="12"/>
      <c r="H18" s="12"/>
      <c r="I18" s="12"/>
      <c r="J18" s="4"/>
      <c r="K18" s="4"/>
      <c r="L18" s="4"/>
    </row>
    <row r="19">
      <c r="A19" s="26"/>
      <c r="B19" s="4"/>
      <c r="C19" s="4"/>
      <c r="D19" s="4"/>
      <c r="E19" s="4"/>
      <c r="F19" s="4"/>
      <c r="G19" s="12"/>
      <c r="H19" s="12"/>
      <c r="I19" s="12"/>
      <c r="J19" s="4"/>
      <c r="K19" s="4"/>
      <c r="L19" s="4"/>
    </row>
    <row r="20">
      <c r="A20" s="26"/>
      <c r="B20" s="4"/>
      <c r="C20" s="4"/>
      <c r="D20" s="4"/>
      <c r="E20" s="4"/>
      <c r="F20" s="4"/>
      <c r="G20" s="12"/>
      <c r="H20" s="12"/>
      <c r="I20" s="12"/>
      <c r="J20" s="4"/>
      <c r="K20" s="4"/>
      <c r="L20" s="4"/>
    </row>
    <row r="21" ht="15.75" customHeight="1">
      <c r="A21" s="26"/>
      <c r="B21" s="4"/>
      <c r="C21" s="4"/>
      <c r="D21" s="4"/>
      <c r="E21" s="4"/>
      <c r="F21" s="4"/>
      <c r="G21" s="12"/>
      <c r="H21" s="12"/>
      <c r="I21" s="12"/>
      <c r="J21" s="4"/>
      <c r="K21" s="4"/>
      <c r="L21" s="4"/>
    </row>
    <row r="22" ht="15.75" customHeight="1">
      <c r="A22" s="26"/>
      <c r="B22" s="4"/>
      <c r="C22" s="4"/>
      <c r="D22" s="4"/>
      <c r="E22" s="4"/>
      <c r="F22" s="4"/>
      <c r="G22" s="12"/>
      <c r="H22" s="12"/>
      <c r="I22" s="12"/>
      <c r="J22" s="4"/>
      <c r="K22" s="4"/>
      <c r="L22" s="4"/>
    </row>
    <row r="23" ht="15.75" customHeight="1">
      <c r="A23" s="26"/>
      <c r="B23" s="4"/>
      <c r="C23" s="4"/>
      <c r="D23" s="4"/>
      <c r="E23" s="4"/>
      <c r="F23" s="4"/>
      <c r="G23" s="12"/>
      <c r="H23" s="12"/>
      <c r="I23" s="12"/>
      <c r="J23" s="4"/>
      <c r="K23" s="4"/>
      <c r="L23" s="4"/>
    </row>
    <row r="24" ht="15.75" customHeight="1">
      <c r="A24" s="26"/>
      <c r="B24" s="4"/>
      <c r="C24" s="4"/>
      <c r="D24" s="4"/>
      <c r="E24" s="4"/>
      <c r="F24" s="4"/>
      <c r="G24" s="12"/>
      <c r="H24" s="12"/>
      <c r="I24" s="12"/>
      <c r="J24" s="4"/>
      <c r="K24" s="4"/>
      <c r="L24" s="4"/>
    </row>
    <row r="25" ht="15.75" customHeight="1">
      <c r="A25" s="26"/>
      <c r="B25" s="4"/>
      <c r="C25" s="4"/>
      <c r="D25" s="4"/>
      <c r="E25" s="4"/>
      <c r="F25" s="4"/>
      <c r="G25" s="12"/>
      <c r="H25" s="12"/>
      <c r="I25" s="12"/>
      <c r="J25" s="4"/>
      <c r="K25" s="4"/>
      <c r="L25" s="4"/>
    </row>
    <row r="26" ht="15.75" customHeight="1">
      <c r="A26" s="26"/>
      <c r="B26" s="4"/>
      <c r="C26" s="4"/>
      <c r="D26" s="4"/>
      <c r="E26" s="4"/>
      <c r="F26" s="4"/>
      <c r="G26" s="12"/>
      <c r="H26" s="12"/>
      <c r="I26" s="12"/>
      <c r="J26" s="4"/>
      <c r="K26" s="4"/>
      <c r="L26" s="4"/>
    </row>
    <row r="27" ht="15.75" customHeight="1">
      <c r="A27" s="26"/>
      <c r="B27" s="4"/>
      <c r="C27" s="4"/>
      <c r="D27" s="4"/>
      <c r="E27" s="4"/>
      <c r="F27" s="4"/>
      <c r="G27" s="12"/>
      <c r="H27" s="12"/>
      <c r="I27" s="12"/>
      <c r="J27" s="4"/>
      <c r="K27" s="4"/>
      <c r="L27" s="4"/>
    </row>
    <row r="28" ht="15.75" customHeight="1">
      <c r="A28" s="26"/>
      <c r="B28" s="4"/>
      <c r="C28" s="4"/>
      <c r="D28" s="4"/>
      <c r="E28" s="4"/>
      <c r="F28" s="4"/>
      <c r="G28" s="12"/>
      <c r="H28" s="12"/>
      <c r="I28" s="12"/>
      <c r="J28" s="4"/>
      <c r="K28" s="4"/>
      <c r="L28" s="4"/>
    </row>
    <row r="29" ht="15.75" customHeight="1">
      <c r="A29" s="26"/>
      <c r="B29" s="4"/>
      <c r="C29" s="4"/>
      <c r="D29" s="4"/>
      <c r="E29" s="4"/>
      <c r="F29" s="4"/>
      <c r="G29" s="12"/>
      <c r="H29" s="12"/>
      <c r="I29" s="12"/>
      <c r="J29" s="4"/>
      <c r="K29" s="4"/>
      <c r="L29" s="4"/>
    </row>
    <row r="30" ht="15.75" customHeight="1">
      <c r="A30" s="26"/>
      <c r="B30" s="4"/>
      <c r="C30" s="4"/>
      <c r="D30" s="4"/>
      <c r="E30" s="4"/>
      <c r="F30" s="4"/>
      <c r="G30" s="12"/>
      <c r="H30" s="12"/>
      <c r="I30" s="12"/>
      <c r="J30" s="4"/>
      <c r="K30" s="4"/>
      <c r="L30" s="4"/>
    </row>
    <row r="31" ht="15.75" customHeight="1">
      <c r="A31" s="26"/>
      <c r="B31" s="4"/>
      <c r="C31" s="4"/>
      <c r="D31" s="4"/>
      <c r="E31" s="4"/>
      <c r="F31" s="4"/>
      <c r="G31" s="12"/>
      <c r="H31" s="12"/>
      <c r="I31" s="12"/>
      <c r="J31" s="4"/>
      <c r="K31" s="4"/>
      <c r="L31" s="4"/>
    </row>
    <row r="32" ht="15.75" customHeight="1">
      <c r="A32" s="26"/>
      <c r="B32" s="4"/>
      <c r="C32" s="4"/>
      <c r="D32" s="4"/>
      <c r="E32" s="4"/>
      <c r="F32" s="4"/>
      <c r="G32" s="12"/>
      <c r="H32" s="12"/>
      <c r="I32" s="12"/>
      <c r="J32" s="4"/>
      <c r="K32" s="4"/>
      <c r="L32" s="4"/>
    </row>
    <row r="33" ht="15.75" customHeight="1">
      <c r="A33" s="26"/>
      <c r="B33" s="4"/>
      <c r="C33" s="4"/>
      <c r="D33" s="4"/>
      <c r="E33" s="4"/>
      <c r="F33" s="4"/>
      <c r="G33" s="12"/>
      <c r="H33" s="12"/>
      <c r="I33" s="12"/>
      <c r="J33" s="4"/>
      <c r="K33" s="4"/>
      <c r="L33" s="4"/>
    </row>
    <row r="34" ht="15.75" customHeight="1">
      <c r="A34" s="26"/>
      <c r="B34" s="4"/>
      <c r="C34" s="4"/>
      <c r="D34" s="4"/>
      <c r="E34" s="4"/>
      <c r="F34" s="4"/>
      <c r="G34" s="12"/>
      <c r="H34" s="12"/>
      <c r="I34" s="12"/>
      <c r="J34" s="4"/>
      <c r="K34" s="4"/>
      <c r="L34" s="4"/>
    </row>
    <row r="35" ht="15.75" customHeight="1">
      <c r="A35" s="26"/>
      <c r="B35" s="4"/>
      <c r="C35" s="4"/>
      <c r="D35" s="4"/>
      <c r="E35" s="4"/>
      <c r="F35" s="4"/>
      <c r="G35" s="12"/>
      <c r="H35" s="12"/>
      <c r="I35" s="12"/>
      <c r="J35" s="4"/>
      <c r="K35" s="4"/>
      <c r="L35" s="4"/>
    </row>
    <row r="36" ht="15.75" customHeight="1">
      <c r="A36" s="26"/>
      <c r="B36" s="4"/>
      <c r="C36" s="4"/>
      <c r="D36" s="4"/>
      <c r="E36" s="4"/>
      <c r="F36" s="4"/>
      <c r="G36" s="12"/>
      <c r="H36" s="12"/>
      <c r="I36" s="12"/>
      <c r="J36" s="4"/>
      <c r="K36" s="4"/>
      <c r="L36" s="4"/>
    </row>
    <row r="37" ht="15.75" customHeight="1">
      <c r="A37" s="26"/>
      <c r="B37" s="4"/>
      <c r="C37" s="4"/>
      <c r="D37" s="4"/>
      <c r="E37" s="4"/>
      <c r="F37" s="4"/>
      <c r="G37" s="12"/>
      <c r="H37" s="12"/>
      <c r="I37" s="12"/>
      <c r="J37" s="4"/>
      <c r="K37" s="4"/>
      <c r="L37" s="4"/>
    </row>
    <row r="38" ht="15.75" customHeight="1">
      <c r="A38" s="26"/>
      <c r="B38" s="4"/>
      <c r="C38" s="4"/>
      <c r="D38" s="4"/>
      <c r="E38" s="4"/>
      <c r="F38" s="4"/>
      <c r="G38" s="12"/>
      <c r="H38" s="12"/>
      <c r="I38" s="12"/>
      <c r="J38" s="4"/>
      <c r="K38" s="4"/>
      <c r="L38" s="4"/>
    </row>
    <row r="39" ht="15.75" customHeight="1">
      <c r="A39" s="26"/>
      <c r="B39" s="4"/>
      <c r="C39" s="4"/>
      <c r="D39" s="4"/>
      <c r="E39" s="4"/>
      <c r="F39" s="4"/>
      <c r="G39" s="12"/>
      <c r="H39" s="12"/>
      <c r="I39" s="12"/>
      <c r="J39" s="4"/>
      <c r="K39" s="4"/>
      <c r="L39" s="4"/>
    </row>
    <row r="40" ht="15.75" customHeight="1">
      <c r="A40" s="26"/>
      <c r="B40" s="4"/>
      <c r="C40" s="4"/>
      <c r="D40" s="4"/>
      <c r="E40" s="4"/>
      <c r="F40" s="4"/>
      <c r="G40" s="12"/>
      <c r="H40" s="12"/>
      <c r="I40" s="12"/>
      <c r="J40" s="4"/>
      <c r="K40" s="4"/>
      <c r="L40" s="4"/>
    </row>
    <row r="41" ht="15.75" customHeight="1">
      <c r="A41" s="26"/>
      <c r="B41" s="4"/>
      <c r="C41" s="4"/>
      <c r="D41" s="4"/>
      <c r="E41" s="4"/>
      <c r="F41" s="4"/>
      <c r="G41" s="12"/>
      <c r="H41" s="12"/>
      <c r="I41" s="12"/>
      <c r="J41" s="4"/>
      <c r="K41" s="4"/>
      <c r="L41" s="4"/>
    </row>
    <row r="42" ht="15.75" customHeight="1">
      <c r="A42" s="26"/>
      <c r="B42" s="4"/>
      <c r="C42" s="4"/>
      <c r="D42" s="4"/>
      <c r="E42" s="4"/>
      <c r="F42" s="4"/>
      <c r="G42" s="12"/>
      <c r="H42" s="12"/>
      <c r="I42" s="12"/>
      <c r="J42" s="4"/>
      <c r="K42" s="4"/>
      <c r="L42" s="4"/>
    </row>
    <row r="43" ht="15.75" customHeight="1">
      <c r="A43" s="26"/>
      <c r="B43" s="4"/>
      <c r="C43" s="4"/>
      <c r="D43" s="4"/>
      <c r="E43" s="4"/>
      <c r="F43" s="4"/>
      <c r="G43" s="12"/>
      <c r="H43" s="12"/>
      <c r="I43" s="12"/>
      <c r="J43" s="4"/>
      <c r="K43" s="4"/>
      <c r="L43" s="4"/>
    </row>
    <row r="44" ht="15.75" customHeight="1">
      <c r="A44" s="26"/>
      <c r="B44" s="4"/>
      <c r="C44" s="4"/>
      <c r="D44" s="4"/>
      <c r="E44" s="4"/>
      <c r="F44" s="4"/>
      <c r="G44" s="12"/>
      <c r="H44" s="12"/>
      <c r="I44" s="12"/>
      <c r="J44" s="4"/>
      <c r="K44" s="4"/>
      <c r="L44" s="4"/>
    </row>
    <row r="45" ht="15.75" customHeight="1">
      <c r="A45" s="26"/>
      <c r="B45" s="4"/>
      <c r="C45" s="4"/>
      <c r="D45" s="4"/>
      <c r="E45" s="4"/>
      <c r="F45" s="4"/>
      <c r="G45" s="12"/>
      <c r="H45" s="12"/>
      <c r="I45" s="12"/>
      <c r="J45" s="4"/>
      <c r="K45" s="4"/>
      <c r="L45" s="4"/>
    </row>
    <row r="46" ht="15.75" customHeight="1">
      <c r="A46" s="26"/>
      <c r="B46" s="4"/>
      <c r="C46" s="4"/>
      <c r="D46" s="4"/>
      <c r="E46" s="4"/>
      <c r="F46" s="4"/>
      <c r="G46" s="12"/>
      <c r="H46" s="12"/>
      <c r="I46" s="12"/>
      <c r="J46" s="4"/>
      <c r="K46" s="4"/>
      <c r="L46" s="4"/>
    </row>
    <row r="47" ht="15.75" customHeight="1">
      <c r="A47" s="26"/>
      <c r="B47" s="4"/>
      <c r="C47" s="4"/>
      <c r="D47" s="4"/>
      <c r="E47" s="4"/>
      <c r="F47" s="4"/>
      <c r="G47" s="12"/>
      <c r="H47" s="12"/>
      <c r="I47" s="12"/>
      <c r="J47" s="4"/>
      <c r="K47" s="4"/>
      <c r="L47" s="4"/>
    </row>
    <row r="48" ht="15.75" customHeight="1">
      <c r="A48" s="26"/>
      <c r="B48" s="4"/>
      <c r="C48" s="4"/>
      <c r="D48" s="4"/>
      <c r="E48" s="4"/>
      <c r="F48" s="4"/>
      <c r="G48" s="12"/>
      <c r="H48" s="12"/>
      <c r="I48" s="12"/>
      <c r="J48" s="4"/>
      <c r="K48" s="4"/>
      <c r="L48" s="4"/>
    </row>
    <row r="49" ht="15.75" customHeight="1">
      <c r="A49" s="26"/>
      <c r="B49" s="4"/>
      <c r="C49" s="4"/>
      <c r="D49" s="4"/>
      <c r="E49" s="4"/>
      <c r="F49" s="4"/>
      <c r="G49" s="12"/>
      <c r="H49" s="12"/>
      <c r="I49" s="12"/>
      <c r="J49" s="4"/>
      <c r="K49" s="4"/>
      <c r="L49" s="4"/>
    </row>
    <row r="50" ht="15.75" customHeight="1">
      <c r="A50" s="26"/>
      <c r="B50" s="4"/>
      <c r="C50" s="4"/>
      <c r="D50" s="4"/>
      <c r="E50" s="4"/>
      <c r="F50" s="4"/>
      <c r="G50" s="12"/>
      <c r="H50" s="12"/>
      <c r="I50" s="12"/>
      <c r="J50" s="4"/>
      <c r="K50" s="4"/>
      <c r="L50" s="4"/>
    </row>
    <row r="51" ht="15.75" customHeight="1">
      <c r="A51" s="26"/>
      <c r="B51" s="4"/>
      <c r="C51" s="4"/>
      <c r="D51" s="4"/>
      <c r="E51" s="4"/>
      <c r="F51" s="4"/>
      <c r="G51" s="12"/>
      <c r="H51" s="12"/>
      <c r="I51" s="12"/>
      <c r="J51" s="4"/>
      <c r="K51" s="4"/>
      <c r="L51" s="4"/>
    </row>
    <row r="52" ht="15.75" customHeight="1">
      <c r="A52" s="26"/>
      <c r="B52" s="4"/>
      <c r="C52" s="4"/>
      <c r="D52" s="4"/>
      <c r="E52" s="4"/>
      <c r="F52" s="4"/>
      <c r="G52" s="12"/>
      <c r="H52" s="12"/>
      <c r="I52" s="12"/>
      <c r="J52" s="4"/>
      <c r="K52" s="4"/>
      <c r="L52" s="4"/>
    </row>
    <row r="53" ht="15.75" customHeight="1">
      <c r="A53" s="26"/>
      <c r="B53" s="4"/>
      <c r="C53" s="4"/>
      <c r="D53" s="4"/>
      <c r="E53" s="4"/>
      <c r="F53" s="4"/>
      <c r="G53" s="12"/>
      <c r="H53" s="12"/>
      <c r="I53" s="12"/>
      <c r="J53" s="4"/>
      <c r="K53" s="4"/>
      <c r="L53" s="4"/>
    </row>
    <row r="54" ht="15.75" customHeight="1">
      <c r="A54" s="26"/>
      <c r="B54" s="4"/>
      <c r="C54" s="4"/>
      <c r="D54" s="4"/>
      <c r="E54" s="4"/>
      <c r="F54" s="4"/>
      <c r="G54" s="12"/>
      <c r="H54" s="12"/>
      <c r="I54" s="12"/>
      <c r="J54" s="4"/>
      <c r="K54" s="4"/>
      <c r="L54" s="4"/>
    </row>
    <row r="55" ht="15.75" customHeight="1">
      <c r="A55" s="26"/>
      <c r="B55" s="4"/>
      <c r="C55" s="4"/>
      <c r="D55" s="4"/>
      <c r="E55" s="4"/>
      <c r="F55" s="4"/>
      <c r="G55" s="12"/>
      <c r="H55" s="12"/>
      <c r="I55" s="12"/>
      <c r="J55" s="4"/>
      <c r="K55" s="4"/>
      <c r="L55" s="4"/>
    </row>
    <row r="56" ht="15.75" customHeight="1">
      <c r="A56" s="26"/>
      <c r="B56" s="4"/>
      <c r="C56" s="4"/>
      <c r="D56" s="4"/>
      <c r="E56" s="4"/>
      <c r="F56" s="4"/>
      <c r="G56" s="12"/>
      <c r="H56" s="12"/>
      <c r="I56" s="12"/>
      <c r="J56" s="4"/>
      <c r="K56" s="4"/>
      <c r="L56" s="4"/>
    </row>
    <row r="57" ht="15.75" customHeight="1">
      <c r="A57" s="26"/>
      <c r="B57" s="4"/>
      <c r="C57" s="4"/>
      <c r="D57" s="4"/>
      <c r="E57" s="4"/>
      <c r="F57" s="4"/>
      <c r="G57" s="12"/>
      <c r="H57" s="12"/>
      <c r="I57" s="12"/>
      <c r="J57" s="4"/>
      <c r="K57" s="4"/>
      <c r="L57" s="4"/>
    </row>
    <row r="58" ht="15.75" customHeight="1">
      <c r="A58" s="26"/>
      <c r="B58" s="4"/>
      <c r="C58" s="4"/>
      <c r="D58" s="4"/>
      <c r="E58" s="4"/>
      <c r="F58" s="4"/>
      <c r="G58" s="12"/>
      <c r="H58" s="12"/>
      <c r="I58" s="12"/>
      <c r="J58" s="4"/>
      <c r="K58" s="4"/>
      <c r="L58" s="4"/>
    </row>
    <row r="59" ht="15.75" customHeight="1">
      <c r="A59" s="26"/>
      <c r="B59" s="4"/>
      <c r="C59" s="4"/>
      <c r="D59" s="4"/>
      <c r="E59" s="4"/>
      <c r="F59" s="4"/>
      <c r="G59" s="12"/>
      <c r="H59" s="12"/>
      <c r="I59" s="12"/>
      <c r="J59" s="4"/>
      <c r="K59" s="4"/>
      <c r="L59" s="4"/>
    </row>
    <row r="60" ht="15.75" customHeight="1">
      <c r="A60" s="26"/>
      <c r="B60" s="4"/>
      <c r="C60" s="4"/>
      <c r="D60" s="4"/>
      <c r="E60" s="4"/>
      <c r="F60" s="4"/>
      <c r="G60" s="12"/>
      <c r="H60" s="12"/>
      <c r="I60" s="12"/>
      <c r="J60" s="4"/>
      <c r="K60" s="4"/>
      <c r="L60" s="4"/>
    </row>
    <row r="61" ht="15.75" customHeight="1">
      <c r="A61" s="26"/>
      <c r="B61" s="4"/>
      <c r="C61" s="4"/>
      <c r="D61" s="4"/>
      <c r="E61" s="4"/>
      <c r="F61" s="4"/>
      <c r="G61" s="12"/>
      <c r="H61" s="12"/>
      <c r="I61" s="12"/>
      <c r="J61" s="4"/>
      <c r="K61" s="4"/>
      <c r="L61" s="4"/>
    </row>
    <row r="62" ht="15.75" customHeight="1">
      <c r="A62" s="26"/>
      <c r="B62" s="4"/>
      <c r="C62" s="4"/>
      <c r="D62" s="4"/>
      <c r="E62" s="4"/>
      <c r="F62" s="4"/>
      <c r="G62" s="12"/>
      <c r="H62" s="12"/>
      <c r="I62" s="12"/>
      <c r="J62" s="4"/>
      <c r="K62" s="4"/>
      <c r="L62" s="4"/>
    </row>
    <row r="63" ht="15.75" customHeight="1">
      <c r="A63" s="26"/>
      <c r="B63" s="4"/>
      <c r="C63" s="4"/>
      <c r="D63" s="4"/>
      <c r="E63" s="4"/>
      <c r="F63" s="4"/>
      <c r="G63" s="12"/>
      <c r="H63" s="12"/>
      <c r="I63" s="12"/>
      <c r="J63" s="4"/>
      <c r="K63" s="4"/>
      <c r="L63" s="4"/>
    </row>
    <row r="64" ht="15.75" customHeight="1">
      <c r="A64" s="26"/>
      <c r="B64" s="4"/>
      <c r="C64" s="4"/>
      <c r="D64" s="4"/>
      <c r="E64" s="4"/>
      <c r="F64" s="4"/>
      <c r="G64" s="12"/>
      <c r="H64" s="12"/>
      <c r="I64" s="12"/>
      <c r="J64" s="4"/>
      <c r="K64" s="4"/>
      <c r="L64" s="4"/>
    </row>
    <row r="65" ht="15.75" customHeight="1">
      <c r="A65" s="26"/>
      <c r="B65" s="4"/>
      <c r="C65" s="4"/>
      <c r="D65" s="4"/>
      <c r="E65" s="4"/>
      <c r="F65" s="4"/>
      <c r="G65" s="12"/>
      <c r="H65" s="12"/>
      <c r="I65" s="12"/>
      <c r="J65" s="4"/>
      <c r="K65" s="4"/>
      <c r="L65" s="4"/>
    </row>
    <row r="66" ht="15.75" customHeight="1">
      <c r="A66" s="26"/>
      <c r="B66" s="4"/>
      <c r="C66" s="4"/>
      <c r="D66" s="4"/>
      <c r="E66" s="4"/>
      <c r="F66" s="4"/>
      <c r="G66" s="12"/>
      <c r="H66" s="12"/>
      <c r="I66" s="12"/>
      <c r="J66" s="4"/>
      <c r="K66" s="4"/>
      <c r="L66" s="4"/>
    </row>
    <row r="67" ht="15.75" customHeight="1">
      <c r="A67" s="26"/>
      <c r="B67" s="4"/>
      <c r="C67" s="4"/>
      <c r="D67" s="4"/>
      <c r="E67" s="4"/>
      <c r="F67" s="4"/>
      <c r="G67" s="12"/>
      <c r="H67" s="12"/>
      <c r="I67" s="12"/>
      <c r="J67" s="4"/>
      <c r="K67" s="4"/>
      <c r="L67" s="4"/>
    </row>
    <row r="68" ht="15.75" customHeight="1">
      <c r="A68" s="26"/>
      <c r="B68" s="4"/>
      <c r="C68" s="4"/>
      <c r="D68" s="4"/>
      <c r="E68" s="4"/>
      <c r="F68" s="4"/>
      <c r="G68" s="12"/>
      <c r="H68" s="12"/>
      <c r="I68" s="12"/>
      <c r="J68" s="4"/>
      <c r="K68" s="4"/>
      <c r="L68" s="4"/>
    </row>
    <row r="69" ht="15.75" customHeight="1">
      <c r="A69" s="26"/>
      <c r="B69" s="4"/>
      <c r="C69" s="4"/>
      <c r="D69" s="4"/>
      <c r="E69" s="4"/>
      <c r="F69" s="4"/>
      <c r="G69" s="12"/>
      <c r="H69" s="12"/>
      <c r="I69" s="12"/>
      <c r="J69" s="4"/>
      <c r="K69" s="4"/>
      <c r="L69" s="4"/>
    </row>
    <row r="70" ht="15.75" customHeight="1">
      <c r="A70" s="26"/>
      <c r="B70" s="4"/>
      <c r="C70" s="4"/>
      <c r="D70" s="4"/>
      <c r="E70" s="4"/>
      <c r="F70" s="4"/>
      <c r="G70" s="12"/>
      <c r="H70" s="12"/>
      <c r="I70" s="12"/>
      <c r="J70" s="4"/>
      <c r="K70" s="4"/>
      <c r="L70" s="4"/>
    </row>
    <row r="71" ht="15.75" customHeight="1">
      <c r="A71" s="26"/>
      <c r="B71" s="4"/>
      <c r="C71" s="4"/>
      <c r="D71" s="4"/>
      <c r="E71" s="4"/>
      <c r="F71" s="4"/>
      <c r="G71" s="12"/>
      <c r="H71" s="12"/>
      <c r="I71" s="12"/>
      <c r="J71" s="4"/>
      <c r="K71" s="4"/>
      <c r="L71" s="4"/>
    </row>
    <row r="72" ht="15.75" customHeight="1">
      <c r="A72" s="26"/>
      <c r="B72" s="4"/>
      <c r="C72" s="4"/>
      <c r="D72" s="4"/>
      <c r="E72" s="4"/>
      <c r="F72" s="4"/>
      <c r="G72" s="12"/>
      <c r="H72" s="12"/>
      <c r="I72" s="12"/>
      <c r="J72" s="4"/>
      <c r="K72" s="4"/>
      <c r="L72" s="4"/>
    </row>
    <row r="73" ht="15.75" customHeight="1">
      <c r="A73" s="26"/>
      <c r="B73" s="4"/>
      <c r="C73" s="4"/>
      <c r="D73" s="4"/>
      <c r="E73" s="4"/>
      <c r="F73" s="4"/>
      <c r="G73" s="12"/>
      <c r="H73" s="12"/>
      <c r="I73" s="12"/>
      <c r="J73" s="4"/>
      <c r="K73" s="4"/>
      <c r="L73" s="4"/>
    </row>
    <row r="74" ht="15.75" customHeight="1">
      <c r="A74" s="26"/>
      <c r="B74" s="4"/>
      <c r="C74" s="4"/>
      <c r="D74" s="4"/>
      <c r="E74" s="4"/>
      <c r="F74" s="4"/>
      <c r="G74" s="12"/>
      <c r="H74" s="12"/>
      <c r="I74" s="12"/>
      <c r="J74" s="4"/>
      <c r="K74" s="4"/>
      <c r="L74" s="4"/>
    </row>
    <row r="75" ht="15.75" customHeight="1">
      <c r="A75" s="26"/>
      <c r="B75" s="4"/>
      <c r="C75" s="4"/>
      <c r="D75" s="4"/>
      <c r="E75" s="4"/>
      <c r="F75" s="4"/>
      <c r="G75" s="12"/>
      <c r="H75" s="12"/>
      <c r="I75" s="12"/>
      <c r="J75" s="4"/>
      <c r="K75" s="4"/>
      <c r="L75" s="4"/>
    </row>
    <row r="76" ht="15.75" customHeight="1">
      <c r="A76" s="26"/>
      <c r="B76" s="4"/>
      <c r="C76" s="4"/>
      <c r="D76" s="4"/>
      <c r="E76" s="4"/>
      <c r="F76" s="4"/>
      <c r="G76" s="12"/>
      <c r="H76" s="12"/>
      <c r="I76" s="12"/>
      <c r="J76" s="4"/>
      <c r="K76" s="4"/>
      <c r="L76" s="4"/>
    </row>
    <row r="77" ht="15.75" customHeight="1">
      <c r="A77" s="26"/>
      <c r="B77" s="4"/>
      <c r="C77" s="4"/>
      <c r="D77" s="4"/>
      <c r="E77" s="4"/>
      <c r="F77" s="4"/>
      <c r="G77" s="12"/>
      <c r="H77" s="12"/>
      <c r="I77" s="12"/>
      <c r="J77" s="4"/>
      <c r="K77" s="4"/>
      <c r="L77" s="4"/>
    </row>
    <row r="78" ht="15.75" customHeight="1">
      <c r="A78" s="26"/>
      <c r="B78" s="4"/>
      <c r="C78" s="4"/>
      <c r="D78" s="4"/>
      <c r="E78" s="4"/>
      <c r="F78" s="4"/>
      <c r="G78" s="12"/>
      <c r="H78" s="12"/>
      <c r="I78" s="12"/>
      <c r="J78" s="4"/>
      <c r="K78" s="4"/>
      <c r="L78" s="4"/>
    </row>
    <row r="79" ht="15.75" customHeight="1">
      <c r="A79" s="26"/>
      <c r="B79" s="4"/>
      <c r="C79" s="4"/>
      <c r="D79" s="4"/>
      <c r="E79" s="4"/>
      <c r="F79" s="4"/>
      <c r="G79" s="12"/>
      <c r="H79" s="12"/>
      <c r="I79" s="12"/>
      <c r="J79" s="4"/>
      <c r="K79" s="4"/>
      <c r="L79" s="4"/>
    </row>
    <row r="80" ht="15.75" customHeight="1">
      <c r="A80" s="26"/>
      <c r="B80" s="4"/>
      <c r="C80" s="4"/>
      <c r="D80" s="4"/>
      <c r="E80" s="4"/>
      <c r="F80" s="4"/>
      <c r="G80" s="12"/>
      <c r="H80" s="12"/>
      <c r="I80" s="12"/>
      <c r="J80" s="4"/>
      <c r="K80" s="4"/>
      <c r="L80" s="4"/>
    </row>
    <row r="81" ht="15.75" customHeight="1">
      <c r="A81" s="26"/>
      <c r="B81" s="4"/>
      <c r="C81" s="4"/>
      <c r="D81" s="4"/>
      <c r="E81" s="4"/>
      <c r="F81" s="4"/>
      <c r="G81" s="12"/>
      <c r="H81" s="12"/>
      <c r="I81" s="12"/>
      <c r="J81" s="4"/>
      <c r="K81" s="4"/>
      <c r="L81" s="4"/>
    </row>
    <row r="82" ht="15.75" customHeight="1">
      <c r="A82" s="26"/>
      <c r="B82" s="4"/>
      <c r="C82" s="4"/>
      <c r="D82" s="4"/>
      <c r="E82" s="4"/>
      <c r="F82" s="4"/>
      <c r="G82" s="12"/>
      <c r="H82" s="12"/>
      <c r="I82" s="12"/>
      <c r="J82" s="4"/>
      <c r="K82" s="4"/>
      <c r="L82" s="4"/>
    </row>
    <row r="83" ht="15.75" customHeight="1">
      <c r="A83" s="26"/>
      <c r="B83" s="4"/>
      <c r="C83" s="4"/>
      <c r="D83" s="4"/>
      <c r="E83" s="4"/>
      <c r="F83" s="4"/>
      <c r="G83" s="12"/>
      <c r="H83" s="12"/>
      <c r="I83" s="12"/>
      <c r="J83" s="4"/>
      <c r="K83" s="4"/>
      <c r="L83" s="4"/>
    </row>
    <row r="84" ht="15.75" customHeight="1">
      <c r="A84" s="26"/>
      <c r="B84" s="4"/>
      <c r="C84" s="4"/>
      <c r="D84" s="4"/>
      <c r="E84" s="4"/>
      <c r="F84" s="4"/>
      <c r="G84" s="12"/>
      <c r="H84" s="12"/>
      <c r="I84" s="12"/>
      <c r="J84" s="4"/>
      <c r="K84" s="4"/>
      <c r="L84" s="4"/>
    </row>
    <row r="85" ht="15.75" customHeight="1">
      <c r="A85" s="26"/>
      <c r="B85" s="4"/>
      <c r="C85" s="4"/>
      <c r="D85" s="4"/>
      <c r="E85" s="4"/>
      <c r="F85" s="4"/>
      <c r="G85" s="12"/>
      <c r="H85" s="12"/>
      <c r="I85" s="12"/>
      <c r="J85" s="4"/>
      <c r="K85" s="4"/>
      <c r="L85" s="4"/>
    </row>
    <row r="86" ht="15.75" customHeight="1">
      <c r="A86" s="26"/>
      <c r="B86" s="4"/>
      <c r="C86" s="4"/>
      <c r="D86" s="4"/>
      <c r="E86" s="4"/>
      <c r="F86" s="4"/>
      <c r="G86" s="12"/>
      <c r="H86" s="12"/>
      <c r="I86" s="12"/>
      <c r="J86" s="4"/>
      <c r="K86" s="4"/>
      <c r="L86" s="4"/>
    </row>
    <row r="87" ht="15.75" customHeight="1">
      <c r="A87" s="26"/>
      <c r="B87" s="4"/>
      <c r="C87" s="4"/>
      <c r="D87" s="4"/>
      <c r="E87" s="4"/>
      <c r="F87" s="4"/>
      <c r="G87" s="12"/>
      <c r="H87" s="12"/>
      <c r="I87" s="12"/>
      <c r="J87" s="4"/>
      <c r="K87" s="4"/>
      <c r="L87" s="4"/>
    </row>
    <row r="88" ht="15.75" customHeight="1">
      <c r="A88" s="26"/>
      <c r="B88" s="4"/>
      <c r="C88" s="4"/>
      <c r="D88" s="4"/>
      <c r="E88" s="4"/>
      <c r="F88" s="4"/>
      <c r="G88" s="12"/>
      <c r="H88" s="12"/>
      <c r="I88" s="12"/>
      <c r="J88" s="4"/>
      <c r="K88" s="4"/>
      <c r="L88" s="4"/>
    </row>
    <row r="89" ht="15.75" customHeight="1">
      <c r="A89" s="26"/>
      <c r="B89" s="4"/>
      <c r="C89" s="4"/>
      <c r="D89" s="4"/>
      <c r="E89" s="4"/>
      <c r="F89" s="4"/>
      <c r="G89" s="12"/>
      <c r="H89" s="12"/>
      <c r="I89" s="12"/>
      <c r="J89" s="4"/>
      <c r="K89" s="4"/>
      <c r="L89" s="4"/>
    </row>
    <row r="90" ht="15.75" customHeight="1">
      <c r="A90" s="26"/>
      <c r="B90" s="4"/>
      <c r="C90" s="4"/>
      <c r="D90" s="4"/>
      <c r="E90" s="4"/>
      <c r="F90" s="4"/>
      <c r="G90" s="12"/>
      <c r="H90" s="12"/>
      <c r="I90" s="12"/>
      <c r="J90" s="4"/>
      <c r="K90" s="4"/>
      <c r="L90" s="4"/>
    </row>
    <row r="91" ht="15.75" customHeight="1">
      <c r="A91" s="26"/>
      <c r="B91" s="4"/>
      <c r="C91" s="4"/>
      <c r="D91" s="4"/>
      <c r="E91" s="4"/>
      <c r="F91" s="4"/>
      <c r="G91" s="12"/>
      <c r="H91" s="12"/>
      <c r="I91" s="12"/>
      <c r="J91" s="4"/>
      <c r="K91" s="4"/>
      <c r="L91" s="4"/>
    </row>
    <row r="92" ht="15.75" customHeight="1">
      <c r="A92" s="26"/>
      <c r="B92" s="4"/>
      <c r="C92" s="4"/>
      <c r="D92" s="4"/>
      <c r="E92" s="4"/>
      <c r="F92" s="4"/>
      <c r="G92" s="12"/>
      <c r="H92" s="12"/>
      <c r="I92" s="12"/>
      <c r="J92" s="4"/>
      <c r="K92" s="4"/>
      <c r="L92" s="4"/>
    </row>
    <row r="93" ht="15.75" customHeight="1">
      <c r="A93" s="26"/>
      <c r="B93" s="4"/>
      <c r="C93" s="4"/>
      <c r="D93" s="4"/>
      <c r="E93" s="4"/>
      <c r="F93" s="4"/>
      <c r="G93" s="12"/>
      <c r="H93" s="12"/>
      <c r="I93" s="12"/>
      <c r="J93" s="4"/>
      <c r="K93" s="4"/>
      <c r="L93" s="4"/>
    </row>
    <row r="94" ht="15.75" customHeight="1">
      <c r="A94" s="26"/>
      <c r="B94" s="4"/>
      <c r="C94" s="4"/>
      <c r="D94" s="4"/>
      <c r="E94" s="4"/>
      <c r="F94" s="4"/>
      <c r="G94" s="12"/>
      <c r="H94" s="12"/>
      <c r="I94" s="12"/>
      <c r="J94" s="4"/>
      <c r="K94" s="4"/>
      <c r="L94" s="4"/>
    </row>
    <row r="95" ht="15.75" customHeight="1">
      <c r="A95" s="26"/>
      <c r="B95" s="4"/>
      <c r="C95" s="4"/>
      <c r="D95" s="4"/>
      <c r="E95" s="4"/>
      <c r="F95" s="4"/>
      <c r="G95" s="12"/>
      <c r="H95" s="12"/>
      <c r="I95" s="12"/>
      <c r="J95" s="4"/>
      <c r="K95" s="4"/>
      <c r="L95" s="4"/>
    </row>
    <row r="96" ht="15.75" customHeight="1">
      <c r="A96" s="26"/>
      <c r="B96" s="4"/>
      <c r="C96" s="4"/>
      <c r="D96" s="4"/>
      <c r="E96" s="4"/>
      <c r="F96" s="4"/>
      <c r="G96" s="12"/>
      <c r="H96" s="12"/>
      <c r="I96" s="12"/>
      <c r="J96" s="4"/>
      <c r="K96" s="4"/>
      <c r="L96" s="4"/>
    </row>
    <row r="97" ht="15.75" customHeight="1">
      <c r="A97" s="26"/>
      <c r="B97" s="4"/>
      <c r="C97" s="4"/>
      <c r="D97" s="4"/>
      <c r="E97" s="4"/>
      <c r="F97" s="4"/>
      <c r="G97" s="12"/>
      <c r="H97" s="12"/>
      <c r="I97" s="12"/>
      <c r="J97" s="4"/>
      <c r="K97" s="4"/>
      <c r="L97" s="4"/>
    </row>
    <row r="98" ht="15.75" customHeight="1">
      <c r="A98" s="26"/>
      <c r="B98" s="4"/>
      <c r="C98" s="4"/>
      <c r="D98" s="4"/>
      <c r="E98" s="4"/>
      <c r="F98" s="4"/>
      <c r="G98" s="12"/>
      <c r="H98" s="12"/>
      <c r="I98" s="12"/>
      <c r="J98" s="4"/>
      <c r="K98" s="4"/>
      <c r="L98" s="4"/>
    </row>
    <row r="99" ht="15.75" customHeight="1">
      <c r="A99" s="26"/>
      <c r="B99" s="4"/>
      <c r="C99" s="4"/>
      <c r="D99" s="4"/>
      <c r="E99" s="4"/>
      <c r="F99" s="4"/>
      <c r="G99" s="12"/>
      <c r="H99" s="12"/>
      <c r="I99" s="12"/>
      <c r="J99" s="4"/>
      <c r="K99" s="4"/>
      <c r="L99" s="4"/>
    </row>
    <row r="100" ht="15.75" customHeight="1">
      <c r="A100" s="26"/>
      <c r="B100" s="4"/>
      <c r="C100" s="4"/>
      <c r="D100" s="4"/>
      <c r="E100" s="4"/>
      <c r="F100" s="4"/>
      <c r="G100" s="12"/>
      <c r="H100" s="12"/>
      <c r="I100" s="12"/>
      <c r="J100" s="4"/>
      <c r="K100" s="4"/>
      <c r="L100" s="4"/>
    </row>
    <row r="101" ht="15.75" customHeight="1">
      <c r="A101" s="26"/>
      <c r="B101" s="4"/>
      <c r="C101" s="4"/>
      <c r="D101" s="4"/>
      <c r="E101" s="4"/>
      <c r="F101" s="4"/>
      <c r="G101" s="12"/>
      <c r="H101" s="12"/>
      <c r="I101" s="12"/>
      <c r="J101" s="4"/>
      <c r="K101" s="4"/>
      <c r="L101" s="4"/>
    </row>
    <row r="102" ht="15.75" customHeight="1">
      <c r="A102" s="26"/>
      <c r="B102" s="4"/>
      <c r="C102" s="4"/>
      <c r="D102" s="4"/>
      <c r="E102" s="4"/>
      <c r="F102" s="4"/>
      <c r="G102" s="12"/>
      <c r="H102" s="12"/>
      <c r="I102" s="12"/>
      <c r="J102" s="4"/>
      <c r="K102" s="4"/>
      <c r="L102" s="4"/>
    </row>
    <row r="103" ht="15.75" customHeight="1">
      <c r="A103" s="26"/>
      <c r="B103" s="4"/>
      <c r="C103" s="4"/>
      <c r="D103" s="4"/>
      <c r="E103" s="4"/>
      <c r="F103" s="4"/>
      <c r="G103" s="12"/>
      <c r="H103" s="12"/>
      <c r="I103" s="12"/>
      <c r="J103" s="4"/>
      <c r="K103" s="4"/>
      <c r="L103" s="4"/>
    </row>
    <row r="104" ht="15.75" customHeight="1">
      <c r="A104" s="26"/>
      <c r="B104" s="4"/>
      <c r="C104" s="4"/>
      <c r="D104" s="4"/>
      <c r="E104" s="4"/>
      <c r="F104" s="4"/>
      <c r="G104" s="12"/>
      <c r="H104" s="12"/>
      <c r="I104" s="12"/>
      <c r="J104" s="4"/>
      <c r="K104" s="4"/>
      <c r="L104" s="4"/>
    </row>
    <row r="105" ht="15.75" customHeight="1">
      <c r="A105" s="26"/>
      <c r="B105" s="4"/>
      <c r="C105" s="4"/>
      <c r="D105" s="4"/>
      <c r="E105" s="4"/>
      <c r="F105" s="4"/>
      <c r="G105" s="12"/>
      <c r="H105" s="12"/>
      <c r="I105" s="12"/>
      <c r="J105" s="4"/>
      <c r="K105" s="4"/>
      <c r="L105" s="4"/>
    </row>
    <row r="106" ht="15.75" customHeight="1">
      <c r="A106" s="26"/>
      <c r="B106" s="4"/>
      <c r="C106" s="4"/>
      <c r="D106" s="4"/>
      <c r="E106" s="4"/>
      <c r="F106" s="4"/>
      <c r="G106" s="12"/>
      <c r="H106" s="12"/>
      <c r="I106" s="12"/>
      <c r="J106" s="4"/>
      <c r="K106" s="4"/>
      <c r="L106" s="4"/>
    </row>
    <row r="107" ht="15.75" customHeight="1">
      <c r="A107" s="26"/>
      <c r="B107" s="4"/>
      <c r="C107" s="4"/>
      <c r="D107" s="4"/>
      <c r="E107" s="4"/>
      <c r="F107" s="4"/>
      <c r="G107" s="12"/>
      <c r="H107" s="12"/>
      <c r="I107" s="12"/>
      <c r="J107" s="4"/>
      <c r="K107" s="4"/>
      <c r="L107" s="4"/>
    </row>
    <row r="108" ht="15.75" customHeight="1">
      <c r="A108" s="26"/>
      <c r="B108" s="4"/>
      <c r="C108" s="4"/>
      <c r="D108" s="4"/>
      <c r="E108" s="4"/>
      <c r="F108" s="4"/>
      <c r="G108" s="12"/>
      <c r="H108" s="12"/>
      <c r="I108" s="12"/>
      <c r="J108" s="4"/>
      <c r="K108" s="4"/>
      <c r="L108" s="4"/>
    </row>
    <row r="109" ht="15.75" customHeight="1">
      <c r="A109" s="26"/>
      <c r="B109" s="4"/>
      <c r="C109" s="4"/>
      <c r="D109" s="4"/>
      <c r="E109" s="4"/>
      <c r="F109" s="4"/>
      <c r="G109" s="12"/>
      <c r="H109" s="12"/>
      <c r="I109" s="12"/>
      <c r="J109" s="4"/>
      <c r="K109" s="4"/>
      <c r="L109" s="4"/>
    </row>
    <row r="110" ht="15.75" customHeight="1">
      <c r="A110" s="26"/>
      <c r="B110" s="4"/>
      <c r="C110" s="4"/>
      <c r="D110" s="4"/>
      <c r="E110" s="4"/>
      <c r="F110" s="4"/>
      <c r="G110" s="12"/>
      <c r="H110" s="12"/>
      <c r="I110" s="12"/>
      <c r="J110" s="4"/>
      <c r="K110" s="4"/>
      <c r="L110" s="4"/>
    </row>
    <row r="111" ht="15.75" customHeight="1">
      <c r="A111" s="26"/>
      <c r="B111" s="4"/>
      <c r="C111" s="4"/>
      <c r="D111" s="4"/>
      <c r="E111" s="4"/>
      <c r="F111" s="4"/>
      <c r="G111" s="12"/>
      <c r="H111" s="12"/>
      <c r="I111" s="12"/>
      <c r="J111" s="4"/>
      <c r="K111" s="4"/>
      <c r="L111" s="4"/>
    </row>
    <row r="112" ht="15.75" customHeight="1">
      <c r="A112" s="26"/>
      <c r="B112" s="4"/>
      <c r="C112" s="4"/>
      <c r="D112" s="4"/>
      <c r="E112" s="4"/>
      <c r="F112" s="4"/>
      <c r="G112" s="12"/>
      <c r="H112" s="12"/>
      <c r="I112" s="12"/>
      <c r="J112" s="4"/>
      <c r="K112" s="4"/>
      <c r="L112" s="4"/>
    </row>
    <row r="113" ht="15.75" customHeight="1">
      <c r="A113" s="26"/>
      <c r="B113" s="4"/>
      <c r="C113" s="4"/>
      <c r="D113" s="4"/>
      <c r="E113" s="4"/>
      <c r="F113" s="4"/>
      <c r="G113" s="12"/>
      <c r="H113" s="12"/>
      <c r="I113" s="12"/>
      <c r="J113" s="4"/>
      <c r="K113" s="4"/>
      <c r="L113" s="4"/>
    </row>
    <row r="114" ht="15.75" customHeight="1">
      <c r="A114" s="26"/>
      <c r="B114" s="4"/>
      <c r="C114" s="4"/>
      <c r="D114" s="4"/>
      <c r="E114" s="4"/>
      <c r="F114" s="4"/>
      <c r="G114" s="12"/>
      <c r="H114" s="12"/>
      <c r="I114" s="12"/>
      <c r="J114" s="4"/>
      <c r="K114" s="4"/>
      <c r="L114" s="4"/>
    </row>
    <row r="115" ht="15.75" customHeight="1">
      <c r="A115" s="26"/>
      <c r="B115" s="4"/>
      <c r="C115" s="4"/>
      <c r="D115" s="4"/>
      <c r="E115" s="4"/>
      <c r="F115" s="4"/>
      <c r="G115" s="12"/>
      <c r="H115" s="12"/>
      <c r="I115" s="12"/>
      <c r="J115" s="4"/>
      <c r="K115" s="4"/>
      <c r="L115" s="4"/>
    </row>
    <row r="116" ht="15.75" customHeight="1">
      <c r="A116" s="26"/>
      <c r="B116" s="4"/>
      <c r="C116" s="4"/>
      <c r="D116" s="4"/>
      <c r="E116" s="4"/>
      <c r="F116" s="4"/>
      <c r="G116" s="12"/>
      <c r="H116" s="12"/>
      <c r="I116" s="12"/>
      <c r="J116" s="4"/>
      <c r="K116" s="4"/>
      <c r="L116" s="4"/>
    </row>
    <row r="117" ht="15.75" customHeight="1">
      <c r="A117" s="26"/>
      <c r="B117" s="4"/>
      <c r="C117" s="4"/>
      <c r="D117" s="4"/>
      <c r="E117" s="4"/>
      <c r="F117" s="4"/>
      <c r="G117" s="12"/>
      <c r="H117" s="12"/>
      <c r="I117" s="12"/>
      <c r="J117" s="4"/>
      <c r="K117" s="4"/>
      <c r="L117" s="4"/>
    </row>
    <row r="118" ht="15.75" customHeight="1">
      <c r="A118" s="26"/>
      <c r="B118" s="4"/>
      <c r="C118" s="4"/>
      <c r="D118" s="4"/>
      <c r="E118" s="4"/>
      <c r="F118" s="4"/>
      <c r="G118" s="12"/>
      <c r="H118" s="12"/>
      <c r="I118" s="12"/>
      <c r="J118" s="4"/>
      <c r="K118" s="4"/>
      <c r="L118" s="4"/>
    </row>
    <row r="119" ht="15.75" customHeight="1">
      <c r="A119" s="26"/>
      <c r="B119" s="4"/>
      <c r="C119" s="4"/>
      <c r="D119" s="4"/>
      <c r="E119" s="4"/>
      <c r="F119" s="4"/>
      <c r="G119" s="12"/>
      <c r="H119" s="12"/>
      <c r="I119" s="12"/>
      <c r="J119" s="4"/>
      <c r="K119" s="4"/>
      <c r="L119" s="4"/>
    </row>
    <row r="120" ht="15.75" customHeight="1">
      <c r="A120" s="26"/>
      <c r="B120" s="4"/>
      <c r="C120" s="4"/>
      <c r="D120" s="4"/>
      <c r="E120" s="4"/>
      <c r="F120" s="4"/>
      <c r="G120" s="12"/>
      <c r="H120" s="12"/>
      <c r="I120" s="12"/>
      <c r="J120" s="4"/>
      <c r="K120" s="4"/>
      <c r="L120" s="4"/>
    </row>
    <row r="121" ht="15.75" customHeight="1">
      <c r="A121" s="26"/>
      <c r="B121" s="4"/>
      <c r="C121" s="4"/>
      <c r="D121" s="4"/>
      <c r="E121" s="4"/>
      <c r="F121" s="4"/>
      <c r="G121" s="12"/>
      <c r="H121" s="12"/>
      <c r="I121" s="12"/>
      <c r="J121" s="4"/>
      <c r="K121" s="4"/>
      <c r="L121" s="4"/>
    </row>
    <row r="122" ht="15.75" customHeight="1">
      <c r="A122" s="26"/>
      <c r="B122" s="4"/>
      <c r="C122" s="4"/>
      <c r="D122" s="4"/>
      <c r="E122" s="4"/>
      <c r="F122" s="4"/>
      <c r="G122" s="12"/>
      <c r="H122" s="12"/>
      <c r="I122" s="12"/>
      <c r="J122" s="4"/>
      <c r="K122" s="4"/>
      <c r="L122" s="4"/>
    </row>
    <row r="123" ht="15.75" customHeight="1">
      <c r="A123" s="26"/>
      <c r="B123" s="4"/>
      <c r="C123" s="4"/>
      <c r="D123" s="4"/>
      <c r="E123" s="4"/>
      <c r="F123" s="4"/>
      <c r="G123" s="12"/>
      <c r="H123" s="12"/>
      <c r="I123" s="12"/>
      <c r="J123" s="4"/>
      <c r="K123" s="4"/>
      <c r="L123" s="4"/>
    </row>
    <row r="124" ht="15.75" customHeight="1">
      <c r="A124" s="26"/>
      <c r="B124" s="4"/>
      <c r="C124" s="4"/>
      <c r="D124" s="4"/>
      <c r="E124" s="4"/>
      <c r="F124" s="4"/>
      <c r="G124" s="12"/>
      <c r="H124" s="12"/>
      <c r="I124" s="12"/>
      <c r="J124" s="4"/>
      <c r="K124" s="4"/>
      <c r="L124" s="4"/>
    </row>
    <row r="125" ht="15.75" customHeight="1">
      <c r="A125" s="26"/>
      <c r="B125" s="4"/>
      <c r="C125" s="4"/>
      <c r="D125" s="4"/>
      <c r="E125" s="4"/>
      <c r="F125" s="4"/>
      <c r="G125" s="12"/>
      <c r="H125" s="12"/>
      <c r="I125" s="12"/>
      <c r="J125" s="4"/>
      <c r="K125" s="4"/>
      <c r="L125" s="4"/>
    </row>
    <row r="126" ht="15.75" customHeight="1">
      <c r="A126" s="26"/>
      <c r="B126" s="4"/>
      <c r="C126" s="4"/>
      <c r="D126" s="4"/>
      <c r="E126" s="4"/>
      <c r="F126" s="4"/>
      <c r="G126" s="12"/>
      <c r="H126" s="12"/>
      <c r="I126" s="12"/>
      <c r="J126" s="4"/>
      <c r="K126" s="4"/>
      <c r="L126" s="4"/>
    </row>
    <row r="127" ht="15.75" customHeight="1">
      <c r="A127" s="26"/>
      <c r="B127" s="4"/>
      <c r="C127" s="4"/>
      <c r="D127" s="4"/>
      <c r="E127" s="4"/>
      <c r="F127" s="4"/>
      <c r="G127" s="12"/>
      <c r="H127" s="12"/>
      <c r="I127" s="12"/>
      <c r="J127" s="4"/>
      <c r="K127" s="4"/>
      <c r="L127" s="4"/>
    </row>
    <row r="128" ht="15.75" customHeight="1">
      <c r="A128" s="26"/>
      <c r="B128" s="4"/>
      <c r="C128" s="4"/>
      <c r="D128" s="4"/>
      <c r="E128" s="4"/>
      <c r="F128" s="4"/>
      <c r="G128" s="12"/>
      <c r="H128" s="12"/>
      <c r="I128" s="12"/>
      <c r="J128" s="4"/>
      <c r="K128" s="4"/>
      <c r="L128" s="4"/>
    </row>
    <row r="129" ht="15.75" customHeight="1">
      <c r="A129" s="26"/>
      <c r="B129" s="4"/>
      <c r="C129" s="4"/>
      <c r="D129" s="4"/>
      <c r="E129" s="4"/>
      <c r="F129" s="4"/>
      <c r="G129" s="12"/>
      <c r="H129" s="12"/>
      <c r="I129" s="12"/>
      <c r="J129" s="4"/>
      <c r="K129" s="4"/>
      <c r="L129" s="4"/>
    </row>
    <row r="130" ht="15.75" customHeight="1">
      <c r="A130" s="26"/>
      <c r="B130" s="4"/>
      <c r="C130" s="4"/>
      <c r="D130" s="4"/>
      <c r="E130" s="4"/>
      <c r="F130" s="4"/>
      <c r="G130" s="12"/>
      <c r="H130" s="12"/>
      <c r="I130" s="12"/>
      <c r="J130" s="4"/>
      <c r="K130" s="4"/>
      <c r="L130" s="4"/>
    </row>
    <row r="131" ht="15.75" customHeight="1">
      <c r="A131" s="26"/>
      <c r="B131" s="4"/>
      <c r="C131" s="4"/>
      <c r="D131" s="4"/>
      <c r="E131" s="4"/>
      <c r="F131" s="4"/>
      <c r="G131" s="12"/>
      <c r="H131" s="12"/>
      <c r="I131" s="12"/>
      <c r="J131" s="4"/>
      <c r="K131" s="4"/>
      <c r="L131" s="4"/>
    </row>
    <row r="132" ht="15.75" customHeight="1">
      <c r="A132" s="26"/>
      <c r="B132" s="4"/>
      <c r="C132" s="4"/>
      <c r="D132" s="4"/>
      <c r="E132" s="4"/>
      <c r="F132" s="4"/>
      <c r="G132" s="12"/>
      <c r="H132" s="12"/>
      <c r="I132" s="12"/>
      <c r="J132" s="4"/>
      <c r="K132" s="4"/>
      <c r="L132" s="4"/>
    </row>
    <row r="133" ht="15.75" customHeight="1">
      <c r="A133" s="26"/>
      <c r="B133" s="4"/>
      <c r="C133" s="4"/>
      <c r="D133" s="4"/>
      <c r="E133" s="4"/>
      <c r="F133" s="4"/>
      <c r="G133" s="12"/>
      <c r="H133" s="12"/>
      <c r="I133" s="12"/>
      <c r="J133" s="4"/>
      <c r="K133" s="4"/>
      <c r="L133" s="4"/>
    </row>
    <row r="134" ht="15.75" customHeight="1">
      <c r="A134" s="26"/>
      <c r="B134" s="4"/>
      <c r="C134" s="4"/>
      <c r="D134" s="4"/>
      <c r="E134" s="4"/>
      <c r="F134" s="4"/>
      <c r="G134" s="12"/>
      <c r="H134" s="12"/>
      <c r="I134" s="12"/>
      <c r="J134" s="4"/>
      <c r="K134" s="4"/>
      <c r="L134" s="4"/>
    </row>
    <row r="135" ht="15.75" customHeight="1">
      <c r="A135" s="26"/>
      <c r="B135" s="4"/>
      <c r="C135" s="4"/>
      <c r="D135" s="4"/>
      <c r="E135" s="4"/>
      <c r="F135" s="4"/>
      <c r="G135" s="12"/>
      <c r="H135" s="12"/>
      <c r="I135" s="12"/>
      <c r="J135" s="4"/>
      <c r="K135" s="4"/>
      <c r="L135" s="4"/>
    </row>
    <row r="136" ht="15.75" customHeight="1">
      <c r="A136" s="26"/>
      <c r="B136" s="4"/>
      <c r="C136" s="4"/>
      <c r="D136" s="4"/>
      <c r="E136" s="4"/>
      <c r="F136" s="4"/>
      <c r="G136" s="12"/>
      <c r="H136" s="12"/>
      <c r="I136" s="12"/>
      <c r="J136" s="4"/>
      <c r="K136" s="4"/>
      <c r="L136" s="4"/>
    </row>
    <row r="137" ht="15.75" customHeight="1">
      <c r="A137" s="26"/>
      <c r="B137" s="4"/>
      <c r="C137" s="4"/>
      <c r="D137" s="4"/>
      <c r="E137" s="4"/>
      <c r="F137" s="4"/>
      <c r="G137" s="12"/>
      <c r="H137" s="12"/>
      <c r="I137" s="12"/>
      <c r="J137" s="4"/>
      <c r="K137" s="4"/>
      <c r="L137" s="4"/>
    </row>
    <row r="138" ht="15.75" customHeight="1">
      <c r="A138" s="26"/>
      <c r="B138" s="4"/>
      <c r="C138" s="4"/>
      <c r="D138" s="4"/>
      <c r="E138" s="4"/>
      <c r="F138" s="4"/>
      <c r="G138" s="12"/>
      <c r="H138" s="12"/>
      <c r="I138" s="12"/>
      <c r="J138" s="4"/>
      <c r="K138" s="4"/>
      <c r="L138" s="4"/>
    </row>
    <row r="139" ht="15.75" customHeight="1">
      <c r="A139" s="26"/>
      <c r="B139" s="4"/>
      <c r="C139" s="4"/>
      <c r="D139" s="4"/>
      <c r="E139" s="4"/>
      <c r="F139" s="4"/>
      <c r="G139" s="12"/>
      <c r="H139" s="12"/>
      <c r="I139" s="12"/>
      <c r="J139" s="4"/>
      <c r="K139" s="4"/>
      <c r="L139" s="4"/>
    </row>
    <row r="140" ht="15.75" customHeight="1">
      <c r="A140" s="26"/>
      <c r="B140" s="4"/>
      <c r="C140" s="4"/>
      <c r="D140" s="4"/>
      <c r="E140" s="4"/>
      <c r="F140" s="4"/>
      <c r="G140" s="12"/>
      <c r="H140" s="12"/>
      <c r="I140" s="12"/>
      <c r="J140" s="4"/>
      <c r="K140" s="4"/>
      <c r="L140" s="4"/>
    </row>
    <row r="141" ht="15.75" customHeight="1">
      <c r="A141" s="26"/>
      <c r="B141" s="4"/>
      <c r="C141" s="4"/>
      <c r="D141" s="4"/>
      <c r="E141" s="4"/>
      <c r="F141" s="4"/>
      <c r="G141" s="12"/>
      <c r="H141" s="12"/>
      <c r="I141" s="12"/>
      <c r="J141" s="4"/>
      <c r="K141" s="4"/>
      <c r="L141" s="4"/>
    </row>
    <row r="142" ht="15.75" customHeight="1">
      <c r="A142" s="26"/>
      <c r="B142" s="4"/>
      <c r="C142" s="4"/>
      <c r="D142" s="4"/>
      <c r="E142" s="4"/>
      <c r="F142" s="4"/>
      <c r="G142" s="12"/>
      <c r="H142" s="12"/>
      <c r="I142" s="12"/>
      <c r="J142" s="4"/>
      <c r="K142" s="4"/>
      <c r="L142" s="4"/>
    </row>
    <row r="143" ht="15.75" customHeight="1">
      <c r="A143" s="26"/>
      <c r="B143" s="4"/>
      <c r="C143" s="4"/>
      <c r="D143" s="4"/>
      <c r="E143" s="4"/>
      <c r="F143" s="4"/>
      <c r="G143" s="12"/>
      <c r="H143" s="12"/>
      <c r="I143" s="12"/>
      <c r="J143" s="4"/>
      <c r="K143" s="4"/>
      <c r="L143" s="4"/>
    </row>
    <row r="144" ht="15.75" customHeight="1">
      <c r="A144" s="26"/>
      <c r="B144" s="4"/>
      <c r="C144" s="4"/>
      <c r="D144" s="4"/>
      <c r="E144" s="4"/>
      <c r="F144" s="4"/>
      <c r="G144" s="12"/>
      <c r="H144" s="12"/>
      <c r="I144" s="12"/>
      <c r="J144" s="4"/>
      <c r="K144" s="4"/>
      <c r="L144" s="4"/>
    </row>
    <row r="145" ht="15.75" customHeight="1">
      <c r="A145" s="26"/>
      <c r="B145" s="4"/>
      <c r="C145" s="4"/>
      <c r="D145" s="4"/>
      <c r="E145" s="4"/>
      <c r="F145" s="4"/>
      <c r="G145" s="12"/>
      <c r="H145" s="12"/>
      <c r="I145" s="12"/>
      <c r="J145" s="4"/>
      <c r="K145" s="4"/>
      <c r="L145" s="4"/>
    </row>
    <row r="146" ht="15.75" customHeight="1">
      <c r="A146" s="26"/>
      <c r="B146" s="4"/>
      <c r="C146" s="4"/>
      <c r="D146" s="4"/>
      <c r="E146" s="4"/>
      <c r="F146" s="4"/>
      <c r="G146" s="12"/>
      <c r="H146" s="12"/>
      <c r="I146" s="12"/>
      <c r="J146" s="4"/>
      <c r="K146" s="4"/>
      <c r="L146" s="4"/>
    </row>
    <row r="147" ht="15.75" customHeight="1">
      <c r="A147" s="26"/>
      <c r="B147" s="4"/>
      <c r="C147" s="4"/>
      <c r="D147" s="4"/>
      <c r="E147" s="4"/>
      <c r="F147" s="4"/>
      <c r="G147" s="12"/>
      <c r="H147" s="12"/>
      <c r="I147" s="12"/>
      <c r="J147" s="4"/>
      <c r="K147" s="4"/>
      <c r="L147" s="4"/>
    </row>
    <row r="148" ht="15.75" customHeight="1">
      <c r="A148" s="26"/>
      <c r="B148" s="4"/>
      <c r="C148" s="4"/>
      <c r="D148" s="4"/>
      <c r="E148" s="4"/>
      <c r="F148" s="4"/>
      <c r="G148" s="12"/>
      <c r="H148" s="12"/>
      <c r="I148" s="12"/>
      <c r="J148" s="4"/>
      <c r="K148" s="4"/>
      <c r="L148" s="4"/>
    </row>
    <row r="149" ht="15.75" customHeight="1">
      <c r="A149" s="26"/>
      <c r="B149" s="4"/>
      <c r="C149" s="4"/>
      <c r="D149" s="4"/>
      <c r="E149" s="4"/>
      <c r="F149" s="4"/>
      <c r="G149" s="12"/>
      <c r="H149" s="12"/>
      <c r="I149" s="12"/>
      <c r="J149" s="4"/>
      <c r="K149" s="4"/>
      <c r="L149" s="4"/>
    </row>
    <row r="150" ht="15.75" customHeight="1">
      <c r="A150" s="26"/>
      <c r="B150" s="4"/>
      <c r="C150" s="4"/>
      <c r="D150" s="4"/>
      <c r="E150" s="4"/>
      <c r="F150" s="4"/>
      <c r="G150" s="12"/>
      <c r="H150" s="12"/>
      <c r="I150" s="12"/>
      <c r="J150" s="4"/>
      <c r="K150" s="4"/>
      <c r="L150" s="4"/>
    </row>
    <row r="151" ht="15.75" customHeight="1">
      <c r="A151" s="26"/>
      <c r="B151" s="4"/>
      <c r="C151" s="4"/>
      <c r="D151" s="4"/>
      <c r="E151" s="4"/>
      <c r="F151" s="4"/>
      <c r="G151" s="12"/>
      <c r="H151" s="12"/>
      <c r="I151" s="12"/>
      <c r="J151" s="4"/>
      <c r="K151" s="4"/>
      <c r="L151" s="4"/>
    </row>
    <row r="152" ht="15.75" customHeight="1">
      <c r="A152" s="26"/>
      <c r="B152" s="4"/>
      <c r="C152" s="4"/>
      <c r="D152" s="4"/>
      <c r="E152" s="4"/>
      <c r="F152" s="4"/>
      <c r="G152" s="12"/>
      <c r="H152" s="12"/>
      <c r="I152" s="12"/>
      <c r="J152" s="4"/>
      <c r="K152" s="4"/>
      <c r="L152" s="4"/>
    </row>
    <row r="153" ht="15.75" customHeight="1">
      <c r="A153" s="26"/>
      <c r="B153" s="4"/>
      <c r="C153" s="4"/>
      <c r="D153" s="4"/>
      <c r="E153" s="4"/>
      <c r="F153" s="4"/>
      <c r="G153" s="12"/>
      <c r="H153" s="12"/>
      <c r="I153" s="12"/>
      <c r="J153" s="4"/>
      <c r="K153" s="4"/>
      <c r="L153" s="4"/>
    </row>
    <row r="154" ht="15.75" customHeight="1">
      <c r="A154" s="26"/>
      <c r="B154" s="4"/>
      <c r="C154" s="4"/>
      <c r="D154" s="4"/>
      <c r="E154" s="4"/>
      <c r="F154" s="4"/>
      <c r="G154" s="12"/>
      <c r="H154" s="12"/>
      <c r="I154" s="12"/>
      <c r="J154" s="4"/>
      <c r="K154" s="4"/>
      <c r="L154" s="4"/>
    </row>
    <row r="155" ht="15.75" customHeight="1">
      <c r="A155" s="26"/>
      <c r="B155" s="4"/>
      <c r="C155" s="4"/>
      <c r="D155" s="4"/>
      <c r="E155" s="4"/>
      <c r="F155" s="4"/>
      <c r="G155" s="12"/>
      <c r="H155" s="12"/>
      <c r="I155" s="12"/>
      <c r="J155" s="4"/>
      <c r="K155" s="4"/>
      <c r="L155" s="4"/>
    </row>
    <row r="156" ht="15.75" customHeight="1">
      <c r="A156" s="26"/>
      <c r="B156" s="4"/>
      <c r="C156" s="4"/>
      <c r="D156" s="4"/>
      <c r="E156" s="4"/>
      <c r="F156" s="4"/>
      <c r="G156" s="12"/>
      <c r="H156" s="12"/>
      <c r="I156" s="12"/>
      <c r="J156" s="4"/>
      <c r="K156" s="4"/>
      <c r="L156" s="4"/>
    </row>
    <row r="157" ht="15.75" customHeight="1">
      <c r="A157" s="26"/>
      <c r="B157" s="4"/>
      <c r="C157" s="4"/>
      <c r="D157" s="4"/>
      <c r="E157" s="4"/>
      <c r="F157" s="4"/>
      <c r="G157" s="12"/>
      <c r="H157" s="12"/>
      <c r="I157" s="12"/>
      <c r="J157" s="4"/>
      <c r="K157" s="4"/>
      <c r="L157" s="4"/>
    </row>
    <row r="158" ht="15.75" customHeight="1">
      <c r="A158" s="26"/>
      <c r="B158" s="4"/>
      <c r="C158" s="4"/>
      <c r="D158" s="4"/>
      <c r="E158" s="4"/>
      <c r="F158" s="4"/>
      <c r="G158" s="12"/>
      <c r="H158" s="12"/>
      <c r="I158" s="12"/>
      <c r="J158" s="4"/>
      <c r="K158" s="4"/>
      <c r="L158" s="4"/>
    </row>
    <row r="159" ht="15.75" customHeight="1">
      <c r="A159" s="26"/>
      <c r="B159" s="4"/>
      <c r="C159" s="4"/>
      <c r="D159" s="4"/>
      <c r="E159" s="4"/>
      <c r="F159" s="4"/>
      <c r="G159" s="12"/>
      <c r="H159" s="12"/>
      <c r="I159" s="12"/>
      <c r="J159" s="4"/>
      <c r="K159" s="4"/>
      <c r="L159" s="4"/>
    </row>
    <row r="160" ht="15.75" customHeight="1">
      <c r="A160" s="26"/>
      <c r="B160" s="4"/>
      <c r="C160" s="4"/>
      <c r="D160" s="4"/>
      <c r="E160" s="4"/>
      <c r="F160" s="4"/>
      <c r="G160" s="12"/>
      <c r="H160" s="12"/>
      <c r="I160" s="12"/>
      <c r="J160" s="4"/>
      <c r="K160" s="4"/>
      <c r="L160" s="4"/>
    </row>
    <row r="161" ht="15.75" customHeight="1">
      <c r="A161" s="26"/>
      <c r="B161" s="4"/>
      <c r="C161" s="4"/>
      <c r="D161" s="4"/>
      <c r="E161" s="4"/>
      <c r="F161" s="4"/>
      <c r="G161" s="12"/>
      <c r="H161" s="12"/>
      <c r="I161" s="12"/>
      <c r="J161" s="4"/>
      <c r="K161" s="4"/>
      <c r="L161" s="4"/>
    </row>
    <row r="162" ht="15.75" customHeight="1">
      <c r="A162" s="26"/>
      <c r="B162" s="4"/>
      <c r="C162" s="4"/>
      <c r="D162" s="4"/>
      <c r="E162" s="4"/>
      <c r="F162" s="4"/>
      <c r="G162" s="12"/>
      <c r="H162" s="12"/>
      <c r="I162" s="12"/>
      <c r="J162" s="4"/>
      <c r="K162" s="4"/>
      <c r="L162" s="4"/>
    </row>
    <row r="163" ht="15.75" customHeight="1">
      <c r="A163" s="26"/>
      <c r="B163" s="4"/>
      <c r="C163" s="4"/>
      <c r="D163" s="4"/>
      <c r="E163" s="4"/>
      <c r="F163" s="4"/>
      <c r="G163" s="12"/>
      <c r="H163" s="12"/>
      <c r="I163" s="12"/>
      <c r="J163" s="4"/>
      <c r="K163" s="4"/>
      <c r="L163" s="4"/>
    </row>
    <row r="164" ht="15.75" customHeight="1">
      <c r="A164" s="26"/>
      <c r="B164" s="4"/>
      <c r="C164" s="4"/>
      <c r="D164" s="4"/>
      <c r="E164" s="4"/>
      <c r="F164" s="4"/>
      <c r="G164" s="12"/>
      <c r="H164" s="12"/>
      <c r="I164" s="12"/>
      <c r="J164" s="4"/>
      <c r="K164" s="4"/>
      <c r="L164" s="4"/>
    </row>
    <row r="165" ht="15.75" customHeight="1">
      <c r="A165" s="26"/>
      <c r="B165" s="4"/>
      <c r="C165" s="4"/>
      <c r="D165" s="4"/>
      <c r="E165" s="4"/>
      <c r="F165" s="4"/>
      <c r="G165" s="12"/>
      <c r="H165" s="12"/>
      <c r="I165" s="12"/>
      <c r="J165" s="4"/>
      <c r="K165" s="4"/>
      <c r="L165" s="4"/>
    </row>
    <row r="166" ht="15.75" customHeight="1">
      <c r="A166" s="26"/>
      <c r="B166" s="4"/>
      <c r="C166" s="4"/>
      <c r="D166" s="4"/>
      <c r="E166" s="4"/>
      <c r="F166" s="4"/>
      <c r="G166" s="12"/>
      <c r="H166" s="12"/>
      <c r="I166" s="12"/>
      <c r="J166" s="4"/>
      <c r="K166" s="4"/>
      <c r="L166" s="4"/>
    </row>
    <row r="167" ht="15.75" customHeight="1">
      <c r="A167" s="26"/>
      <c r="B167" s="4"/>
      <c r="C167" s="4"/>
      <c r="D167" s="4"/>
      <c r="E167" s="4"/>
      <c r="F167" s="4"/>
      <c r="G167" s="12"/>
      <c r="H167" s="12"/>
      <c r="I167" s="12"/>
      <c r="J167" s="4"/>
      <c r="K167" s="4"/>
      <c r="L167" s="4"/>
    </row>
    <row r="168" ht="15.75" customHeight="1">
      <c r="A168" s="26"/>
      <c r="B168" s="4"/>
      <c r="C168" s="4"/>
      <c r="D168" s="4"/>
      <c r="E168" s="4"/>
      <c r="F168" s="4"/>
      <c r="G168" s="12"/>
      <c r="H168" s="12"/>
      <c r="I168" s="12"/>
      <c r="J168" s="4"/>
      <c r="K168" s="4"/>
      <c r="L168" s="4"/>
    </row>
    <row r="169" ht="15.75" customHeight="1">
      <c r="A169" s="26"/>
      <c r="B169" s="4"/>
      <c r="C169" s="4"/>
      <c r="D169" s="4"/>
      <c r="E169" s="4"/>
      <c r="F169" s="4"/>
      <c r="G169" s="12"/>
      <c r="H169" s="12"/>
      <c r="I169" s="12"/>
      <c r="J169" s="4"/>
      <c r="K169" s="4"/>
      <c r="L169" s="4"/>
    </row>
    <row r="170" ht="15.75" customHeight="1">
      <c r="A170" s="26"/>
      <c r="B170" s="4"/>
      <c r="C170" s="4"/>
      <c r="D170" s="4"/>
      <c r="E170" s="4"/>
      <c r="F170" s="4"/>
      <c r="G170" s="12"/>
      <c r="H170" s="12"/>
      <c r="I170" s="12"/>
      <c r="J170" s="4"/>
      <c r="K170" s="4"/>
      <c r="L170" s="4"/>
    </row>
    <row r="171" ht="15.75" customHeight="1">
      <c r="A171" s="26"/>
      <c r="B171" s="4"/>
      <c r="C171" s="4"/>
      <c r="D171" s="4"/>
      <c r="E171" s="4"/>
      <c r="F171" s="4"/>
      <c r="G171" s="12"/>
      <c r="H171" s="12"/>
      <c r="I171" s="12"/>
      <c r="J171" s="4"/>
      <c r="K171" s="4"/>
      <c r="L171" s="4"/>
    </row>
    <row r="172" ht="15.75" customHeight="1">
      <c r="A172" s="26"/>
      <c r="B172" s="4"/>
      <c r="C172" s="4"/>
      <c r="D172" s="4"/>
      <c r="E172" s="4"/>
      <c r="F172" s="4"/>
      <c r="G172" s="12"/>
      <c r="H172" s="12"/>
      <c r="I172" s="12"/>
      <c r="J172" s="4"/>
      <c r="K172" s="4"/>
      <c r="L172" s="4"/>
    </row>
    <row r="173" ht="15.75" customHeight="1">
      <c r="A173" s="26"/>
      <c r="B173" s="4"/>
      <c r="C173" s="4"/>
      <c r="D173" s="4"/>
      <c r="E173" s="4"/>
      <c r="F173" s="4"/>
      <c r="G173" s="12"/>
      <c r="H173" s="12"/>
      <c r="I173" s="12"/>
      <c r="J173" s="4"/>
      <c r="K173" s="4"/>
      <c r="L173" s="4"/>
    </row>
    <row r="174" ht="15.75" customHeight="1">
      <c r="A174" s="26"/>
      <c r="B174" s="4"/>
      <c r="C174" s="4"/>
      <c r="D174" s="4"/>
      <c r="E174" s="4"/>
      <c r="F174" s="4"/>
      <c r="G174" s="12"/>
      <c r="H174" s="12"/>
      <c r="I174" s="12"/>
      <c r="J174" s="4"/>
      <c r="K174" s="4"/>
      <c r="L174" s="4"/>
    </row>
    <row r="175" ht="15.75" customHeight="1">
      <c r="A175" s="26"/>
      <c r="B175" s="4"/>
      <c r="C175" s="4"/>
      <c r="D175" s="4"/>
      <c r="E175" s="4"/>
      <c r="F175" s="4"/>
      <c r="G175" s="12"/>
      <c r="H175" s="12"/>
      <c r="I175" s="12"/>
      <c r="J175" s="4"/>
      <c r="K175" s="4"/>
      <c r="L175" s="4"/>
    </row>
    <row r="176" ht="15.75" customHeight="1">
      <c r="A176" s="26"/>
      <c r="B176" s="4"/>
      <c r="C176" s="4"/>
      <c r="D176" s="4"/>
      <c r="E176" s="4"/>
      <c r="F176" s="4"/>
      <c r="G176" s="12"/>
      <c r="H176" s="12"/>
      <c r="I176" s="12"/>
      <c r="J176" s="4"/>
      <c r="K176" s="4"/>
      <c r="L176" s="4"/>
    </row>
    <row r="177" ht="15.75" customHeight="1">
      <c r="A177" s="26"/>
      <c r="B177" s="4"/>
      <c r="C177" s="4"/>
      <c r="D177" s="4"/>
      <c r="E177" s="4"/>
      <c r="F177" s="4"/>
      <c r="G177" s="12"/>
      <c r="H177" s="12"/>
      <c r="I177" s="12"/>
      <c r="J177" s="4"/>
      <c r="K177" s="4"/>
      <c r="L177" s="4"/>
    </row>
    <row r="178" ht="15.75" customHeight="1">
      <c r="A178" s="26"/>
      <c r="B178" s="4"/>
      <c r="C178" s="4"/>
      <c r="D178" s="4"/>
      <c r="E178" s="4"/>
      <c r="F178" s="4"/>
      <c r="G178" s="12"/>
      <c r="H178" s="12"/>
      <c r="I178" s="12"/>
      <c r="J178" s="4"/>
      <c r="K178" s="4"/>
      <c r="L178" s="4"/>
    </row>
    <row r="179" ht="15.75" customHeight="1">
      <c r="A179" s="26"/>
      <c r="B179" s="4"/>
      <c r="C179" s="4"/>
      <c r="D179" s="4"/>
      <c r="E179" s="4"/>
      <c r="F179" s="4"/>
      <c r="G179" s="12"/>
      <c r="H179" s="12"/>
      <c r="I179" s="12"/>
      <c r="J179" s="4"/>
      <c r="K179" s="4"/>
      <c r="L179" s="4"/>
    </row>
    <row r="180" ht="15.75" customHeight="1">
      <c r="A180" s="26"/>
      <c r="B180" s="4"/>
      <c r="C180" s="4"/>
      <c r="D180" s="4"/>
      <c r="E180" s="4"/>
      <c r="F180" s="4"/>
      <c r="G180" s="12"/>
      <c r="H180" s="12"/>
      <c r="I180" s="12"/>
      <c r="J180" s="4"/>
      <c r="K180" s="4"/>
      <c r="L180" s="4"/>
    </row>
    <row r="181" ht="15.75" customHeight="1">
      <c r="A181" s="26"/>
      <c r="B181" s="4"/>
      <c r="C181" s="4"/>
      <c r="D181" s="4"/>
      <c r="E181" s="4"/>
      <c r="F181" s="4"/>
      <c r="G181" s="12"/>
      <c r="H181" s="12"/>
      <c r="I181" s="12"/>
      <c r="J181" s="4"/>
      <c r="K181" s="4"/>
      <c r="L181" s="4"/>
    </row>
    <row r="182" ht="15.75" customHeight="1">
      <c r="A182" s="26"/>
      <c r="B182" s="4"/>
      <c r="C182" s="4"/>
      <c r="D182" s="4"/>
      <c r="E182" s="4"/>
      <c r="F182" s="4"/>
      <c r="G182" s="12"/>
      <c r="H182" s="12"/>
      <c r="I182" s="12"/>
      <c r="J182" s="4"/>
      <c r="K182" s="4"/>
      <c r="L182" s="4"/>
    </row>
    <row r="183" ht="15.75" customHeight="1">
      <c r="A183" s="26"/>
      <c r="B183" s="4"/>
      <c r="C183" s="4"/>
      <c r="D183" s="4"/>
      <c r="E183" s="4"/>
      <c r="F183" s="4"/>
      <c r="G183" s="12"/>
      <c r="H183" s="12"/>
      <c r="I183" s="12"/>
      <c r="J183" s="4"/>
      <c r="K183" s="4"/>
      <c r="L183" s="4"/>
    </row>
    <row r="184" ht="15.75" customHeight="1">
      <c r="A184" s="26"/>
      <c r="B184" s="4"/>
      <c r="C184" s="4"/>
      <c r="D184" s="4"/>
      <c r="E184" s="4"/>
      <c r="F184" s="4"/>
      <c r="G184" s="12"/>
      <c r="H184" s="12"/>
      <c r="I184" s="12"/>
      <c r="J184" s="4"/>
      <c r="K184" s="4"/>
      <c r="L184" s="4"/>
    </row>
    <row r="185" ht="15.75" customHeight="1">
      <c r="A185" s="26"/>
      <c r="B185" s="4"/>
      <c r="C185" s="4"/>
      <c r="D185" s="4"/>
      <c r="E185" s="4"/>
      <c r="F185" s="4"/>
      <c r="G185" s="12"/>
      <c r="H185" s="12"/>
      <c r="I185" s="12"/>
      <c r="J185" s="4"/>
      <c r="K185" s="4"/>
      <c r="L185" s="4"/>
    </row>
    <row r="186" ht="15.75" customHeight="1">
      <c r="A186" s="26"/>
      <c r="B186" s="4"/>
      <c r="C186" s="4"/>
      <c r="D186" s="4"/>
      <c r="E186" s="4"/>
      <c r="F186" s="4"/>
      <c r="G186" s="12"/>
      <c r="H186" s="12"/>
      <c r="I186" s="12"/>
      <c r="J186" s="4"/>
      <c r="K186" s="4"/>
      <c r="L186" s="4"/>
    </row>
    <row r="187" ht="15.75" customHeight="1">
      <c r="A187" s="26"/>
      <c r="B187" s="4"/>
      <c r="C187" s="4"/>
      <c r="D187" s="4"/>
      <c r="E187" s="4"/>
      <c r="F187" s="4"/>
      <c r="G187" s="12"/>
      <c r="H187" s="12"/>
      <c r="I187" s="12"/>
      <c r="J187" s="4"/>
      <c r="K187" s="4"/>
      <c r="L187" s="4"/>
    </row>
    <row r="188" ht="15.75" customHeight="1">
      <c r="A188" s="26"/>
      <c r="B188" s="4"/>
      <c r="C188" s="4"/>
      <c r="D188" s="4"/>
      <c r="E188" s="4"/>
      <c r="F188" s="4"/>
      <c r="G188" s="12"/>
      <c r="H188" s="12"/>
      <c r="I188" s="12"/>
      <c r="J188" s="4"/>
      <c r="K188" s="4"/>
      <c r="L188" s="4"/>
    </row>
    <row r="189" ht="15.75" customHeight="1">
      <c r="A189" s="26"/>
      <c r="B189" s="4"/>
      <c r="C189" s="4"/>
      <c r="D189" s="4"/>
      <c r="E189" s="4"/>
      <c r="F189" s="4"/>
      <c r="G189" s="12"/>
      <c r="H189" s="12"/>
      <c r="I189" s="12"/>
      <c r="J189" s="4"/>
      <c r="K189" s="4"/>
      <c r="L189" s="4"/>
    </row>
    <row r="190" ht="15.75" customHeight="1">
      <c r="A190" s="26"/>
      <c r="B190" s="4"/>
      <c r="C190" s="4"/>
      <c r="D190" s="4"/>
      <c r="E190" s="4"/>
      <c r="F190" s="4"/>
      <c r="G190" s="12"/>
      <c r="H190" s="12"/>
      <c r="I190" s="12"/>
      <c r="J190" s="4"/>
      <c r="K190" s="4"/>
      <c r="L190" s="4"/>
    </row>
    <row r="191" ht="15.75" customHeight="1">
      <c r="A191" s="26"/>
      <c r="B191" s="4"/>
      <c r="C191" s="4"/>
      <c r="D191" s="4"/>
      <c r="E191" s="4"/>
      <c r="F191" s="4"/>
      <c r="G191" s="12"/>
      <c r="H191" s="12"/>
      <c r="I191" s="12"/>
      <c r="J191" s="4"/>
      <c r="K191" s="4"/>
      <c r="L191" s="4"/>
    </row>
    <row r="192" ht="15.75" customHeight="1">
      <c r="A192" s="26"/>
      <c r="B192" s="4"/>
      <c r="C192" s="4"/>
      <c r="D192" s="4"/>
      <c r="E192" s="4"/>
      <c r="F192" s="4"/>
      <c r="G192" s="12"/>
      <c r="H192" s="12"/>
      <c r="I192" s="12"/>
      <c r="J192" s="4"/>
      <c r="K192" s="4"/>
      <c r="L192" s="4"/>
    </row>
    <row r="193" ht="15.75" customHeight="1">
      <c r="A193" s="26"/>
      <c r="B193" s="4"/>
      <c r="C193" s="4"/>
      <c r="D193" s="4"/>
      <c r="E193" s="4"/>
      <c r="F193" s="4"/>
      <c r="G193" s="12"/>
      <c r="H193" s="12"/>
      <c r="I193" s="12"/>
      <c r="J193" s="4"/>
      <c r="K193" s="4"/>
      <c r="L193" s="4"/>
    </row>
    <row r="194" ht="15.75" customHeight="1">
      <c r="A194" s="26"/>
      <c r="B194" s="4"/>
      <c r="C194" s="4"/>
      <c r="D194" s="4"/>
      <c r="E194" s="4"/>
      <c r="F194" s="4"/>
      <c r="G194" s="12"/>
      <c r="H194" s="12"/>
      <c r="I194" s="12"/>
      <c r="J194" s="4"/>
      <c r="K194" s="4"/>
      <c r="L194" s="4"/>
    </row>
    <row r="195" ht="15.75" customHeight="1">
      <c r="A195" s="26"/>
      <c r="B195" s="4"/>
      <c r="C195" s="4"/>
      <c r="D195" s="4"/>
      <c r="E195" s="4"/>
      <c r="F195" s="4"/>
      <c r="G195" s="12"/>
      <c r="H195" s="12"/>
      <c r="I195" s="12"/>
      <c r="J195" s="4"/>
      <c r="K195" s="4"/>
      <c r="L195" s="4"/>
    </row>
    <row r="196" ht="15.75" customHeight="1">
      <c r="A196" s="26"/>
      <c r="B196" s="4"/>
      <c r="C196" s="4"/>
      <c r="D196" s="4"/>
      <c r="E196" s="4"/>
      <c r="F196" s="4"/>
      <c r="G196" s="12"/>
      <c r="H196" s="12"/>
      <c r="I196" s="12"/>
      <c r="J196" s="4"/>
      <c r="K196" s="4"/>
      <c r="L196" s="4"/>
    </row>
    <row r="197" ht="15.75" customHeight="1">
      <c r="A197" s="26"/>
      <c r="B197" s="4"/>
      <c r="C197" s="4"/>
      <c r="D197" s="4"/>
      <c r="E197" s="4"/>
      <c r="F197" s="4"/>
      <c r="G197" s="12"/>
      <c r="H197" s="12"/>
      <c r="I197" s="12"/>
      <c r="J197" s="4"/>
      <c r="K197" s="4"/>
      <c r="L197" s="4"/>
    </row>
    <row r="198" ht="15.75" customHeight="1">
      <c r="A198" s="26"/>
      <c r="B198" s="4"/>
      <c r="C198" s="4"/>
      <c r="D198" s="4"/>
      <c r="E198" s="4"/>
      <c r="F198" s="4"/>
      <c r="G198" s="12"/>
      <c r="H198" s="12"/>
      <c r="I198" s="12"/>
      <c r="J198" s="4"/>
      <c r="K198" s="4"/>
      <c r="L198" s="4"/>
    </row>
    <row r="199" ht="15.75" customHeight="1">
      <c r="A199" s="26"/>
      <c r="B199" s="4"/>
      <c r="C199" s="4"/>
      <c r="D199" s="4"/>
      <c r="E199" s="4"/>
      <c r="F199" s="4"/>
      <c r="G199" s="12"/>
      <c r="H199" s="12"/>
      <c r="I199" s="12"/>
      <c r="J199" s="4"/>
      <c r="K199" s="4"/>
      <c r="L199" s="4"/>
    </row>
    <row r="200" ht="15.75" customHeight="1">
      <c r="A200" s="26"/>
      <c r="B200" s="4"/>
      <c r="C200" s="4"/>
      <c r="D200" s="4"/>
      <c r="E200" s="4"/>
      <c r="F200" s="4"/>
      <c r="G200" s="12"/>
      <c r="H200" s="12"/>
      <c r="I200" s="12"/>
      <c r="J200" s="4"/>
      <c r="K200" s="4"/>
      <c r="L200" s="4"/>
    </row>
    <row r="201" ht="15.75" customHeight="1">
      <c r="A201" s="26"/>
      <c r="B201" s="4"/>
      <c r="C201" s="4"/>
      <c r="D201" s="4"/>
      <c r="E201" s="4"/>
      <c r="F201" s="4"/>
      <c r="G201" s="12"/>
      <c r="H201" s="12"/>
      <c r="I201" s="12"/>
      <c r="J201" s="4"/>
      <c r="K201" s="4"/>
      <c r="L201" s="4"/>
    </row>
    <row r="202" ht="15.75" customHeight="1">
      <c r="A202" s="26"/>
      <c r="B202" s="4"/>
      <c r="C202" s="4"/>
      <c r="D202" s="4"/>
      <c r="E202" s="4"/>
      <c r="F202" s="4"/>
      <c r="G202" s="12"/>
      <c r="H202" s="12"/>
      <c r="I202" s="12"/>
      <c r="J202" s="4"/>
      <c r="K202" s="4"/>
      <c r="L202" s="4"/>
    </row>
    <row r="203" ht="15.75" customHeight="1">
      <c r="A203" s="26"/>
      <c r="B203" s="4"/>
      <c r="C203" s="4"/>
      <c r="D203" s="4"/>
      <c r="E203" s="4"/>
      <c r="F203" s="4"/>
      <c r="G203" s="12"/>
      <c r="H203" s="12"/>
      <c r="I203" s="12"/>
      <c r="J203" s="4"/>
      <c r="K203" s="4"/>
      <c r="L203" s="4"/>
    </row>
    <row r="204" ht="15.75" customHeight="1">
      <c r="A204" s="26"/>
      <c r="B204" s="4"/>
      <c r="C204" s="4"/>
      <c r="D204" s="4"/>
      <c r="E204" s="4"/>
      <c r="F204" s="4"/>
      <c r="G204" s="12"/>
      <c r="H204" s="12"/>
      <c r="I204" s="12"/>
      <c r="J204" s="4"/>
      <c r="K204" s="4"/>
      <c r="L204" s="4"/>
    </row>
    <row r="205" ht="15.75" customHeight="1">
      <c r="A205" s="26"/>
      <c r="B205" s="4"/>
      <c r="C205" s="4"/>
      <c r="D205" s="4"/>
      <c r="E205" s="4"/>
      <c r="F205" s="4"/>
      <c r="G205" s="12"/>
      <c r="H205" s="12"/>
      <c r="I205" s="12"/>
      <c r="J205" s="4"/>
      <c r="K205" s="4"/>
      <c r="L205" s="4"/>
    </row>
    <row r="206" ht="15.75" customHeight="1">
      <c r="A206" s="26"/>
      <c r="B206" s="4"/>
      <c r="C206" s="4"/>
      <c r="D206" s="4"/>
      <c r="E206" s="4"/>
      <c r="F206" s="4"/>
      <c r="G206" s="12"/>
      <c r="H206" s="12"/>
      <c r="I206" s="12"/>
      <c r="J206" s="4"/>
      <c r="K206" s="4"/>
      <c r="L206" s="4"/>
    </row>
    <row r="207" ht="15.75" customHeight="1">
      <c r="A207" s="26"/>
      <c r="B207" s="4"/>
      <c r="C207" s="4"/>
      <c r="D207" s="4"/>
      <c r="E207" s="4"/>
      <c r="F207" s="4"/>
      <c r="G207" s="12"/>
      <c r="H207" s="12"/>
      <c r="I207" s="12"/>
      <c r="J207" s="4"/>
      <c r="K207" s="4"/>
      <c r="L207" s="4"/>
    </row>
    <row r="208" ht="15.75" customHeight="1">
      <c r="A208" s="26"/>
      <c r="B208" s="4"/>
      <c r="C208" s="4"/>
      <c r="D208" s="4"/>
      <c r="E208" s="4"/>
      <c r="F208" s="4"/>
      <c r="G208" s="12"/>
      <c r="H208" s="12"/>
      <c r="I208" s="12"/>
      <c r="J208" s="4"/>
      <c r="K208" s="4"/>
      <c r="L208" s="4"/>
    </row>
    <row r="209" ht="15.75" customHeight="1">
      <c r="A209" s="26"/>
      <c r="B209" s="4"/>
      <c r="C209" s="4"/>
      <c r="D209" s="4"/>
      <c r="E209" s="4"/>
      <c r="F209" s="4"/>
      <c r="G209" s="12"/>
      <c r="H209" s="12"/>
      <c r="I209" s="12"/>
      <c r="J209" s="4"/>
      <c r="K209" s="4"/>
      <c r="L209" s="4"/>
    </row>
    <row r="210" ht="15.75" customHeight="1">
      <c r="A210" s="26"/>
      <c r="B210" s="4"/>
      <c r="C210" s="4"/>
      <c r="D210" s="4"/>
      <c r="E210" s="4"/>
      <c r="F210" s="4"/>
      <c r="G210" s="12"/>
      <c r="H210" s="12"/>
      <c r="I210" s="12"/>
      <c r="J210" s="4"/>
      <c r="K210" s="4"/>
      <c r="L210" s="4"/>
    </row>
    <row r="211" ht="15.75" customHeight="1">
      <c r="A211" s="26"/>
      <c r="B211" s="4"/>
      <c r="C211" s="4"/>
      <c r="D211" s="4"/>
      <c r="E211" s="4"/>
      <c r="F211" s="4"/>
      <c r="G211" s="12"/>
      <c r="H211" s="12"/>
      <c r="I211" s="12"/>
      <c r="J211" s="4"/>
      <c r="K211" s="4"/>
      <c r="L211" s="4"/>
    </row>
    <row r="212" ht="15.75" customHeight="1">
      <c r="A212" s="26"/>
      <c r="B212" s="4"/>
      <c r="C212" s="4"/>
      <c r="D212" s="4"/>
      <c r="E212" s="4"/>
      <c r="F212" s="4"/>
      <c r="G212" s="12"/>
      <c r="H212" s="12"/>
      <c r="I212" s="12"/>
      <c r="J212" s="4"/>
      <c r="K212" s="4"/>
      <c r="L212" s="4"/>
    </row>
    <row r="213" ht="15.75" customHeight="1">
      <c r="A213" s="26"/>
      <c r="B213" s="4"/>
      <c r="C213" s="4"/>
      <c r="D213" s="4"/>
      <c r="E213" s="4"/>
      <c r="F213" s="4"/>
      <c r="G213" s="12"/>
      <c r="H213" s="12"/>
      <c r="I213" s="12"/>
      <c r="J213" s="4"/>
      <c r="K213" s="4"/>
      <c r="L213" s="4"/>
    </row>
    <row r="214" ht="15.75" customHeight="1">
      <c r="A214" s="26"/>
      <c r="B214" s="4"/>
      <c r="C214" s="4"/>
      <c r="D214" s="4"/>
      <c r="E214" s="4"/>
      <c r="F214" s="4"/>
      <c r="G214" s="12"/>
      <c r="H214" s="12"/>
      <c r="I214" s="12"/>
      <c r="J214" s="4"/>
      <c r="K214" s="4"/>
      <c r="L214" s="4"/>
    </row>
    <row r="215" ht="15.75" customHeight="1">
      <c r="A215" s="26"/>
      <c r="B215" s="4"/>
      <c r="C215" s="4"/>
      <c r="D215" s="4"/>
      <c r="E215" s="4"/>
      <c r="F215" s="4"/>
      <c r="G215" s="12"/>
      <c r="H215" s="12"/>
      <c r="I215" s="12"/>
      <c r="J215" s="4"/>
      <c r="K215" s="4"/>
      <c r="L215" s="4"/>
    </row>
    <row r="216" ht="15.75" customHeight="1">
      <c r="A216" s="26"/>
      <c r="B216" s="4"/>
      <c r="C216" s="4"/>
      <c r="D216" s="4"/>
      <c r="E216" s="4"/>
      <c r="F216" s="4"/>
      <c r="G216" s="12"/>
      <c r="H216" s="12"/>
      <c r="I216" s="12"/>
      <c r="J216" s="4"/>
      <c r="K216" s="4"/>
      <c r="L216" s="4"/>
    </row>
    <row r="217" ht="15.75" customHeight="1">
      <c r="A217" s="26"/>
      <c r="B217" s="4"/>
      <c r="C217" s="4"/>
      <c r="D217" s="4"/>
      <c r="E217" s="4"/>
      <c r="F217" s="4"/>
      <c r="G217" s="12"/>
      <c r="H217" s="12"/>
      <c r="I217" s="12"/>
      <c r="J217" s="4"/>
      <c r="K217" s="4"/>
      <c r="L217" s="4"/>
    </row>
    <row r="218" ht="15.75" customHeight="1">
      <c r="A218" s="26"/>
      <c r="B218" s="4"/>
      <c r="C218" s="4"/>
      <c r="D218" s="4"/>
      <c r="E218" s="4"/>
      <c r="F218" s="4"/>
      <c r="G218" s="12"/>
      <c r="H218" s="12"/>
      <c r="I218" s="12"/>
      <c r="J218" s="4"/>
      <c r="K218" s="4"/>
      <c r="L218" s="4"/>
    </row>
    <row r="219" ht="15.75" customHeight="1">
      <c r="A219" s="26"/>
      <c r="B219" s="4"/>
      <c r="C219" s="4"/>
      <c r="D219" s="4"/>
      <c r="E219" s="4"/>
      <c r="F219" s="4"/>
      <c r="G219" s="12"/>
      <c r="H219" s="12"/>
      <c r="I219" s="12"/>
      <c r="J219" s="4"/>
      <c r="K219" s="4"/>
      <c r="L219" s="4"/>
    </row>
    <row r="220" ht="15.75" customHeight="1">
      <c r="A220" s="26"/>
      <c r="B220" s="4"/>
      <c r="C220" s="4"/>
      <c r="D220" s="4"/>
      <c r="E220" s="4"/>
      <c r="F220" s="4"/>
      <c r="G220" s="12"/>
      <c r="H220" s="12"/>
      <c r="I220" s="12"/>
      <c r="J220" s="4"/>
      <c r="K220" s="4"/>
      <c r="L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5.0"/>
    <col customWidth="1" min="4" max="4" width="16.0"/>
    <col customWidth="1" min="5" max="6" width="14.0"/>
    <col customWidth="1" min="7" max="7" width="32.0"/>
    <col customWidth="1" min="8" max="10" width="14.0"/>
    <col customWidth="1" min="11" max="11" width="12.0"/>
    <col customWidth="1" min="12" max="13" width="16.0"/>
    <col customWidth="1" min="14" max="26" width="8.71"/>
  </cols>
  <sheetData>
    <row r="1" ht="27.75" customHeight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18" t="s">
        <v>36</v>
      </c>
      <c r="B2" s="18" t="s">
        <v>37</v>
      </c>
      <c r="C2" s="18" t="s">
        <v>13</v>
      </c>
      <c r="D2" s="18" t="s">
        <v>38</v>
      </c>
      <c r="E2" s="18" t="s">
        <v>39</v>
      </c>
      <c r="F2" s="18" t="s">
        <v>34</v>
      </c>
      <c r="G2" s="18" t="s">
        <v>17</v>
      </c>
      <c r="H2" s="18" t="s">
        <v>296</v>
      </c>
      <c r="I2" s="18" t="s">
        <v>297</v>
      </c>
      <c r="J2" s="18" t="s">
        <v>15</v>
      </c>
      <c r="K2" s="18" t="s">
        <v>203</v>
      </c>
      <c r="L2" s="18" t="s">
        <v>41</v>
      </c>
      <c r="M2" s="18" t="s">
        <v>298</v>
      </c>
    </row>
    <row r="3">
      <c r="A3" s="24">
        <f>VLOOKUP(F3,Pedidos!$A:$L,2,FALSE)</f>
        <v>46145</v>
      </c>
      <c r="B3" s="19" t="str">
        <f>VLOOKUP(F3,Pedidos!$A:$L,3,FALSE)</f>
        <v>Hostal Ruka</v>
      </c>
      <c r="C3" s="19" t="str">
        <f>VLOOKUP(F3,Pedidos!$A:$L,4,FALSE)</f>
        <v>Villarrica</v>
      </c>
      <c r="D3" s="19" t="str">
        <f>VLOOKUP(F3,Pedidos!$A:$L,5,FALSE)</f>
        <v>Centro</v>
      </c>
      <c r="E3" s="19" t="str">
        <f>VLOOKUP(F3,Pedidos!$A:$L,6,FALSE)</f>
        <v>Ruta 2</v>
      </c>
      <c r="F3" s="19" t="str">
        <f>Detalle_Pedidos!A3</f>
        <v>PED-1001</v>
      </c>
      <c r="G3" s="19" t="str">
        <f>Detalle_Pedidos!C3</f>
        <v>Bidón combustible 25 L</v>
      </c>
      <c r="H3" s="22">
        <f>Detalle_Pedidos!F3</f>
        <v>18000</v>
      </c>
      <c r="I3" s="22">
        <f>Detalle_Pedidos!D3*Detalle_Pedidos!G3</f>
        <v>13500</v>
      </c>
      <c r="J3" s="22">
        <f t="shared" ref="J3:J73" si="1">H3-I3</f>
        <v>4500</v>
      </c>
      <c r="K3" s="23">
        <f t="shared" ref="K3:K73" si="2">IF(H3&gt;0,J3/H3,0)</f>
        <v>0.25</v>
      </c>
      <c r="L3" s="19" t="str">
        <f>VLOOKUP(F3,Pedidos!$A:$L,8,FALSE)</f>
        <v>Efectivo</v>
      </c>
      <c r="M3" s="19" t="str">
        <f>VLOOKUP(F3,Pedidos!$A:$L,7,FALSE)</f>
        <v>Pendiente</v>
      </c>
    </row>
    <row r="4">
      <c r="A4" s="24">
        <f>VLOOKUP(F4,Pedidos!$A:$L,2,FALSE)</f>
        <v>46145</v>
      </c>
      <c r="B4" s="19" t="str">
        <f>VLOOKUP(F4,Pedidos!$A:$L,3,FALSE)</f>
        <v>Hostal Ruka</v>
      </c>
      <c r="C4" s="19" t="str">
        <f>VLOOKUP(F4,Pedidos!$A:$L,4,FALSE)</f>
        <v>Villarrica</v>
      </c>
      <c r="D4" s="19" t="str">
        <f>VLOOKUP(F4,Pedidos!$A:$L,5,FALSE)</f>
        <v>Centro</v>
      </c>
      <c r="E4" s="19" t="str">
        <f>VLOOKUP(F4,Pedidos!$A:$L,6,FALSE)</f>
        <v>Ruta 2</v>
      </c>
      <c r="F4" s="19" t="str">
        <f>Detalle_Pedidos!A4</f>
        <v>PED-1001</v>
      </c>
      <c r="G4" s="19" t="str">
        <f>Detalle_Pedidos!C4</f>
        <v>Café sobre caja 20 un</v>
      </c>
      <c r="H4" s="22">
        <f>Detalle_Pedidos!F4</f>
        <v>68286</v>
      </c>
      <c r="I4" s="22">
        <f>Detalle_Pedidos!D4*Detalle_Pedidos!G4</f>
        <v>52200</v>
      </c>
      <c r="J4" s="22">
        <f t="shared" si="1"/>
        <v>16086</v>
      </c>
      <c r="K4" s="23">
        <f t="shared" si="2"/>
        <v>0.235568052</v>
      </c>
      <c r="L4" s="19" t="str">
        <f>VLOOKUP(F4,Pedidos!$A:$L,8,FALSE)</f>
        <v>Efectivo</v>
      </c>
      <c r="M4" s="19" t="str">
        <f>VLOOKUP(F4,Pedidos!$A:$L,7,FALSE)</f>
        <v>Pendiente</v>
      </c>
    </row>
    <row r="5">
      <c r="A5" s="24">
        <f>VLOOKUP(F5,Pedidos!$A:$L,2,FALSE)</f>
        <v>46143</v>
      </c>
      <c r="B5" s="19" t="str">
        <f>VLOOKUP(F5,Pedidos!$A:$L,3,FALSE)</f>
        <v>Camping Los Robles</v>
      </c>
      <c r="C5" s="19" t="str">
        <f>VLOOKUP(F5,Pedidos!$A:$L,4,FALSE)</f>
        <v>Curarrehue</v>
      </c>
      <c r="D5" s="19" t="str">
        <f>VLOOKUP(F5,Pedidos!$A:$L,5,FALSE)</f>
        <v>Rural</v>
      </c>
      <c r="E5" s="19" t="str">
        <f>VLOOKUP(F5,Pedidos!$A:$L,6,FALSE)</f>
        <v>Jorge</v>
      </c>
      <c r="F5" s="19" t="str">
        <f>Detalle_Pedidos!A5</f>
        <v>PED-1002</v>
      </c>
      <c r="G5" s="19" t="str">
        <f>Detalle_Pedidos!C5</f>
        <v>Huevos Primera bandeja 30 un</v>
      </c>
      <c r="H5" s="22">
        <f>Detalle_Pedidos!F5</f>
        <v>22500</v>
      </c>
      <c r="I5" s="22">
        <f>Detalle_Pedidos!D5*Detalle_Pedidos!G5</f>
        <v>18900</v>
      </c>
      <c r="J5" s="22">
        <f t="shared" si="1"/>
        <v>3600</v>
      </c>
      <c r="K5" s="23">
        <f t="shared" si="2"/>
        <v>0.16</v>
      </c>
      <c r="L5" s="19" t="str">
        <f>VLOOKUP(F5,Pedidos!$A:$L,8,FALSE)</f>
        <v>Efectivo</v>
      </c>
      <c r="M5" s="19" t="str">
        <f>VLOOKUP(F5,Pedidos!$A:$L,7,FALSE)</f>
        <v>Pagado</v>
      </c>
    </row>
    <row r="6">
      <c r="A6" s="24">
        <f>VLOOKUP(F6,Pedidos!$A:$L,2,FALSE)</f>
        <v>46143</v>
      </c>
      <c r="B6" s="19" t="str">
        <f>VLOOKUP(F6,Pedidos!$A:$L,3,FALSE)</f>
        <v>Camping Los Robles</v>
      </c>
      <c r="C6" s="19" t="str">
        <f>VLOOKUP(F6,Pedidos!$A:$L,4,FALSE)</f>
        <v>Curarrehue</v>
      </c>
      <c r="D6" s="19" t="str">
        <f>VLOOKUP(F6,Pedidos!$A:$L,5,FALSE)</f>
        <v>Rural</v>
      </c>
      <c r="E6" s="19" t="str">
        <f>VLOOKUP(F6,Pedidos!$A:$L,6,FALSE)</f>
        <v>Jorge</v>
      </c>
      <c r="F6" s="19" t="str">
        <f>Detalle_Pedidos!A6</f>
        <v>PED-1002</v>
      </c>
      <c r="G6" s="19" t="str">
        <f>Detalle_Pedidos!C6</f>
        <v>Papel Higiénico 12 rollos</v>
      </c>
      <c r="H6" s="22">
        <f>Detalle_Pedidos!F6</f>
        <v>192924</v>
      </c>
      <c r="I6" s="22">
        <f>Detalle_Pedidos!D6*Detalle_Pedidos!G6</f>
        <v>168000</v>
      </c>
      <c r="J6" s="22">
        <f t="shared" si="1"/>
        <v>24924</v>
      </c>
      <c r="K6" s="23">
        <f t="shared" si="2"/>
        <v>0.1291907694</v>
      </c>
      <c r="L6" s="19" t="str">
        <f>VLOOKUP(F6,Pedidos!$A:$L,8,FALSE)</f>
        <v>Efectivo</v>
      </c>
      <c r="M6" s="19" t="str">
        <f>VLOOKUP(F6,Pedidos!$A:$L,7,FALSE)</f>
        <v>Pagado</v>
      </c>
    </row>
    <row r="7">
      <c r="A7" s="24">
        <f>VLOOKUP(F7,Pedidos!$A:$L,2,FALSE)</f>
        <v>46143</v>
      </c>
      <c r="B7" s="19" t="str">
        <f>VLOOKUP(F7,Pedidos!$A:$L,3,FALSE)</f>
        <v>Camping Los Robles</v>
      </c>
      <c r="C7" s="19" t="str">
        <f>VLOOKUP(F7,Pedidos!$A:$L,4,FALSE)</f>
        <v>Curarrehue</v>
      </c>
      <c r="D7" s="19" t="str">
        <f>VLOOKUP(F7,Pedidos!$A:$L,5,FALSE)</f>
        <v>Rural</v>
      </c>
      <c r="E7" s="19" t="str">
        <f>VLOOKUP(F7,Pedidos!$A:$L,6,FALSE)</f>
        <v>Jorge</v>
      </c>
      <c r="F7" s="19" t="str">
        <f>Detalle_Pedidos!A7</f>
        <v>PED-1002</v>
      </c>
      <c r="G7" s="19" t="str">
        <f>Detalle_Pedidos!C7</f>
        <v>Energética Score Gorilla 735 ml</v>
      </c>
      <c r="H7" s="22">
        <f>Detalle_Pedidos!F7</f>
        <v>18382.5</v>
      </c>
      <c r="I7" s="22">
        <f>Detalle_Pedidos!D7*Detalle_Pedidos!G7</f>
        <v>12300</v>
      </c>
      <c r="J7" s="22">
        <f t="shared" si="1"/>
        <v>6082.5</v>
      </c>
      <c r="K7" s="23">
        <f t="shared" si="2"/>
        <v>0.3308853529</v>
      </c>
      <c r="L7" s="19" t="str">
        <f>VLOOKUP(F7,Pedidos!$A:$L,8,FALSE)</f>
        <v>Efectivo</v>
      </c>
      <c r="M7" s="19" t="str">
        <f>VLOOKUP(F7,Pedidos!$A:$L,7,FALSE)</f>
        <v>Pagado</v>
      </c>
    </row>
    <row r="8">
      <c r="A8" s="24">
        <f>VLOOKUP(F8,Pedidos!$A:$L,2,FALSE)</f>
        <v>46152</v>
      </c>
      <c r="B8" s="19" t="str">
        <f>VLOOKUP(F8,Pedidos!$A:$L,3,FALSE)</f>
        <v>Minimarket Los Pinos</v>
      </c>
      <c r="C8" s="19" t="str">
        <f>VLOOKUP(F8,Pedidos!$A:$L,4,FALSE)</f>
        <v>Villarrica</v>
      </c>
      <c r="D8" s="19" t="str">
        <f>VLOOKUP(F8,Pedidos!$A:$L,5,FALSE)</f>
        <v>Centro</v>
      </c>
      <c r="E8" s="19" t="str">
        <f>VLOOKUP(F8,Pedidos!$A:$L,6,FALSE)</f>
        <v>Jorge</v>
      </c>
      <c r="F8" s="19" t="str">
        <f>Detalle_Pedidos!A8</f>
        <v>PED-1003</v>
      </c>
      <c r="G8" s="19" t="str">
        <f>Detalle_Pedidos!C8</f>
        <v>Carbón bolsa 2.5 kg</v>
      </c>
      <c r="H8" s="22">
        <f>Detalle_Pedidos!F8</f>
        <v>3180</v>
      </c>
      <c r="I8" s="22">
        <f>Detalle_Pedidos!D8*Detalle_Pedidos!G8</f>
        <v>2260</v>
      </c>
      <c r="J8" s="22">
        <f t="shared" si="1"/>
        <v>920</v>
      </c>
      <c r="K8" s="23">
        <f t="shared" si="2"/>
        <v>0.2893081761</v>
      </c>
      <c r="L8" s="19" t="str">
        <f>VLOOKUP(F8,Pedidos!$A:$L,8,FALSE)</f>
        <v>Efectivo</v>
      </c>
      <c r="M8" s="19" t="str">
        <f>VLOOKUP(F8,Pedidos!$A:$L,7,FALSE)</f>
        <v>Despachado</v>
      </c>
    </row>
    <row r="9">
      <c r="A9" s="24">
        <f>VLOOKUP(F9,Pedidos!$A:$L,2,FALSE)</f>
        <v>46152</v>
      </c>
      <c r="B9" s="19" t="str">
        <f>VLOOKUP(F9,Pedidos!$A:$L,3,FALSE)</f>
        <v>Minimarket Los Pinos</v>
      </c>
      <c r="C9" s="19" t="str">
        <f>VLOOKUP(F9,Pedidos!$A:$L,4,FALSE)</f>
        <v>Villarrica</v>
      </c>
      <c r="D9" s="19" t="str">
        <f>VLOOKUP(F9,Pedidos!$A:$L,5,FALSE)</f>
        <v>Centro</v>
      </c>
      <c r="E9" s="19" t="str">
        <f>VLOOKUP(F9,Pedidos!$A:$L,6,FALSE)</f>
        <v>Jorge</v>
      </c>
      <c r="F9" s="19" t="str">
        <f>Detalle_Pedidos!A9</f>
        <v>PED-1003</v>
      </c>
      <c r="G9" s="19" t="str">
        <f>Detalle_Pedidos!C9</f>
        <v>Huevos Primera bandeja 30 un</v>
      </c>
      <c r="H9" s="22">
        <f>Detalle_Pedidos!F9</f>
        <v>207000</v>
      </c>
      <c r="I9" s="22">
        <f>Detalle_Pedidos!D9*Detalle_Pedidos!G9</f>
        <v>189000</v>
      </c>
      <c r="J9" s="22">
        <f t="shared" si="1"/>
        <v>18000</v>
      </c>
      <c r="K9" s="23">
        <f t="shared" si="2"/>
        <v>0.08695652174</v>
      </c>
      <c r="L9" s="19" t="str">
        <f>VLOOKUP(F9,Pedidos!$A:$L,8,FALSE)</f>
        <v>Efectivo</v>
      </c>
      <c r="M9" s="19" t="str">
        <f>VLOOKUP(F9,Pedidos!$A:$L,7,FALSE)</f>
        <v>Despachado</v>
      </c>
    </row>
    <row r="10">
      <c r="A10" s="24">
        <f>VLOOKUP(F10,Pedidos!$A:$L,2,FALSE)</f>
        <v>46152</v>
      </c>
      <c r="B10" s="19" t="str">
        <f>VLOOKUP(F10,Pedidos!$A:$L,3,FALSE)</f>
        <v>Minimarket Los Pinos</v>
      </c>
      <c r="C10" s="19" t="str">
        <f>VLOOKUP(F10,Pedidos!$A:$L,4,FALSE)</f>
        <v>Villarrica</v>
      </c>
      <c r="D10" s="19" t="str">
        <f>VLOOKUP(F10,Pedidos!$A:$L,5,FALSE)</f>
        <v>Centro</v>
      </c>
      <c r="E10" s="19" t="str">
        <f>VLOOKUP(F10,Pedidos!$A:$L,6,FALSE)</f>
        <v>Jorge</v>
      </c>
      <c r="F10" s="19" t="str">
        <f>Detalle_Pedidos!A10</f>
        <v>PED-1003</v>
      </c>
      <c r="G10" s="19" t="str">
        <f>Detalle_Pedidos!C10</f>
        <v>Papel Higiénico 4 rollos</v>
      </c>
      <c r="H10" s="22">
        <f>Detalle_Pedidos!F10</f>
        <v>12450</v>
      </c>
      <c r="I10" s="22">
        <f>Detalle_Pedidos!D10*Detalle_Pedidos!G10</f>
        <v>9850</v>
      </c>
      <c r="J10" s="22">
        <f t="shared" si="1"/>
        <v>2600</v>
      </c>
      <c r="K10" s="23">
        <f t="shared" si="2"/>
        <v>0.2088353414</v>
      </c>
      <c r="L10" s="19" t="str">
        <f>VLOOKUP(F10,Pedidos!$A:$L,8,FALSE)</f>
        <v>Efectivo</v>
      </c>
      <c r="M10" s="19" t="str">
        <f>VLOOKUP(F10,Pedidos!$A:$L,7,FALSE)</f>
        <v>Despachado</v>
      </c>
    </row>
    <row r="11">
      <c r="A11" s="24">
        <f>VLOOKUP(F11,Pedidos!$A:$L,2,FALSE)</f>
        <v>46152</v>
      </c>
      <c r="B11" s="19" t="str">
        <f>VLOOKUP(F11,Pedidos!$A:$L,3,FALSE)</f>
        <v>Minimarket Los Pinos</v>
      </c>
      <c r="C11" s="19" t="str">
        <f>VLOOKUP(F11,Pedidos!$A:$L,4,FALSE)</f>
        <v>Villarrica</v>
      </c>
      <c r="D11" s="19" t="str">
        <f>VLOOKUP(F11,Pedidos!$A:$L,5,FALSE)</f>
        <v>Centro</v>
      </c>
      <c r="E11" s="19" t="str">
        <f>VLOOKUP(F11,Pedidos!$A:$L,6,FALSE)</f>
        <v>Jorge</v>
      </c>
      <c r="F11" s="19" t="str">
        <f>Detalle_Pedidos!A11</f>
        <v>PED-1003</v>
      </c>
      <c r="G11" s="19" t="str">
        <f>Detalle_Pedidos!C11</f>
        <v>Energética Score Gorilla 735 ml</v>
      </c>
      <c r="H11" s="22">
        <f>Detalle_Pedidos!F11</f>
        <v>12255</v>
      </c>
      <c r="I11" s="22">
        <f>Detalle_Pedidos!D11*Detalle_Pedidos!G11</f>
        <v>8200</v>
      </c>
      <c r="J11" s="22">
        <f t="shared" si="1"/>
        <v>4055</v>
      </c>
      <c r="K11" s="23">
        <f t="shared" si="2"/>
        <v>0.3308853529</v>
      </c>
      <c r="L11" s="19" t="str">
        <f>VLOOKUP(F11,Pedidos!$A:$L,8,FALSE)</f>
        <v>Efectivo</v>
      </c>
      <c r="M11" s="19" t="str">
        <f>VLOOKUP(F11,Pedidos!$A:$L,7,FALSE)</f>
        <v>Despachado</v>
      </c>
    </row>
    <row r="12">
      <c r="A12" s="24">
        <f>VLOOKUP(F12,Pedidos!$A:$L,2,FALSE)</f>
        <v>46145</v>
      </c>
      <c r="B12" s="19" t="str">
        <f>VLOOKUP(F12,Pedidos!$A:$L,3,FALSE)</f>
        <v>Food Truck La Ruta</v>
      </c>
      <c r="C12" s="19" t="str">
        <f>VLOOKUP(F12,Pedidos!$A:$L,4,FALSE)</f>
        <v>Lican Ray</v>
      </c>
      <c r="D12" s="19" t="str">
        <f>VLOOKUP(F12,Pedidos!$A:$L,5,FALSE)</f>
        <v>Licán Urbano</v>
      </c>
      <c r="E12" s="19" t="str">
        <f>VLOOKUP(F12,Pedidos!$A:$L,6,FALSE)</f>
        <v>Ruta 2</v>
      </c>
      <c r="F12" s="19" t="str">
        <f>Detalle_Pedidos!A12</f>
        <v>PED-1004</v>
      </c>
      <c r="G12" s="19" t="str">
        <f>Detalle_Pedidos!C12</f>
        <v>Bidón combustible 25 L</v>
      </c>
      <c r="H12" s="22">
        <f>Detalle_Pedidos!F12</f>
        <v>264000</v>
      </c>
      <c r="I12" s="22">
        <f>Detalle_Pedidos!D12*Detalle_Pedidos!G12</f>
        <v>225000</v>
      </c>
      <c r="J12" s="22">
        <f t="shared" si="1"/>
        <v>39000</v>
      </c>
      <c r="K12" s="23">
        <f t="shared" si="2"/>
        <v>0.1477272727</v>
      </c>
      <c r="L12" s="19" t="str">
        <f>VLOOKUP(F12,Pedidos!$A:$L,8,FALSE)</f>
        <v>Débito/Crédito</v>
      </c>
      <c r="M12" s="19" t="str">
        <f>VLOOKUP(F12,Pedidos!$A:$L,7,FALSE)</f>
        <v>Despachado</v>
      </c>
    </row>
    <row r="13">
      <c r="A13" s="24">
        <f>VLOOKUP(F13,Pedidos!$A:$L,2,FALSE)</f>
        <v>46145</v>
      </c>
      <c r="B13" s="19" t="str">
        <f>VLOOKUP(F13,Pedidos!$A:$L,3,FALSE)</f>
        <v>Food Truck La Ruta</v>
      </c>
      <c r="C13" s="19" t="str">
        <f>VLOOKUP(F13,Pedidos!$A:$L,4,FALSE)</f>
        <v>Lican Ray</v>
      </c>
      <c r="D13" s="19" t="str">
        <f>VLOOKUP(F13,Pedidos!$A:$L,5,FALSE)</f>
        <v>Licán Urbano</v>
      </c>
      <c r="E13" s="19" t="str">
        <f>VLOOKUP(F13,Pedidos!$A:$L,6,FALSE)</f>
        <v>Ruta 2</v>
      </c>
      <c r="F13" s="19" t="str">
        <f>Detalle_Pedidos!A13</f>
        <v>PED-1004</v>
      </c>
      <c r="G13" s="19" t="str">
        <f>Detalle_Pedidos!C13</f>
        <v>Leña saco pino</v>
      </c>
      <c r="H13" s="22">
        <f>Detalle_Pedidos!F13</f>
        <v>154000</v>
      </c>
      <c r="I13" s="22">
        <f>Detalle_Pedidos!D13*Detalle_Pedidos!G13</f>
        <v>125000</v>
      </c>
      <c r="J13" s="22">
        <f t="shared" si="1"/>
        <v>29000</v>
      </c>
      <c r="K13" s="23">
        <f t="shared" si="2"/>
        <v>0.1883116883</v>
      </c>
      <c r="L13" s="19" t="str">
        <f>VLOOKUP(F13,Pedidos!$A:$L,8,FALSE)</f>
        <v>Débito/Crédito</v>
      </c>
      <c r="M13" s="19" t="str">
        <f>VLOOKUP(F13,Pedidos!$A:$L,7,FALSE)</f>
        <v>Despachado</v>
      </c>
    </row>
    <row r="14">
      <c r="A14" s="24">
        <f>VLOOKUP(F14,Pedidos!$A:$L,2,FALSE)</f>
        <v>46145</v>
      </c>
      <c r="B14" s="19" t="str">
        <f>VLOOKUP(F14,Pedidos!$A:$L,3,FALSE)</f>
        <v>Food Truck La Ruta</v>
      </c>
      <c r="C14" s="19" t="str">
        <f>VLOOKUP(F14,Pedidos!$A:$L,4,FALSE)</f>
        <v>Lican Ray</v>
      </c>
      <c r="D14" s="19" t="str">
        <f>VLOOKUP(F14,Pedidos!$A:$L,5,FALSE)</f>
        <v>Licán Urbano</v>
      </c>
      <c r="E14" s="19" t="str">
        <f>VLOOKUP(F14,Pedidos!$A:$L,6,FALSE)</f>
        <v>Ruta 2</v>
      </c>
      <c r="F14" s="19" t="str">
        <f>Detalle_Pedidos!A14</f>
        <v>PED-1004</v>
      </c>
      <c r="G14" s="19" t="str">
        <f>Detalle_Pedidos!C14</f>
        <v>Nova Toalla Papel 2 rollos</v>
      </c>
      <c r="H14" s="22">
        <f>Detalle_Pedidos!F14</f>
        <v>11940</v>
      </c>
      <c r="I14" s="22">
        <f>Detalle_Pedidos!D14*Detalle_Pedidos!G14</f>
        <v>9180</v>
      </c>
      <c r="J14" s="22">
        <f t="shared" si="1"/>
        <v>2760</v>
      </c>
      <c r="K14" s="23">
        <f t="shared" si="2"/>
        <v>0.2311557789</v>
      </c>
      <c r="L14" s="19" t="str">
        <f>VLOOKUP(F14,Pedidos!$A:$L,8,FALSE)</f>
        <v>Débito/Crédito</v>
      </c>
      <c r="M14" s="19" t="str">
        <f>VLOOKUP(F14,Pedidos!$A:$L,7,FALSE)</f>
        <v>Despachado</v>
      </c>
    </row>
    <row r="15">
      <c r="A15" s="24">
        <f>VLOOKUP(F15,Pedidos!$A:$L,2,FALSE)</f>
        <v>46145</v>
      </c>
      <c r="B15" s="19" t="str">
        <f>VLOOKUP(F15,Pedidos!$A:$L,3,FALSE)</f>
        <v>Food Truck La Ruta</v>
      </c>
      <c r="C15" s="19" t="str">
        <f>VLOOKUP(F15,Pedidos!$A:$L,4,FALSE)</f>
        <v>Lican Ray</v>
      </c>
      <c r="D15" s="19" t="str">
        <f>VLOOKUP(F15,Pedidos!$A:$L,5,FALSE)</f>
        <v>Licán Urbano</v>
      </c>
      <c r="E15" s="19" t="str">
        <f>VLOOKUP(F15,Pedidos!$A:$L,6,FALSE)</f>
        <v>Ruta 2</v>
      </c>
      <c r="F15" s="19" t="str">
        <f>Detalle_Pedidos!A15</f>
        <v>PED-1004</v>
      </c>
      <c r="G15" s="19" t="str">
        <f>Detalle_Pedidos!C15</f>
        <v>Papel Higiénico 12 rollos</v>
      </c>
      <c r="H15" s="22">
        <f>Detalle_Pedidos!F15</f>
        <v>79686</v>
      </c>
      <c r="I15" s="22">
        <f>Detalle_Pedidos!D15*Detalle_Pedidos!G15</f>
        <v>67200</v>
      </c>
      <c r="J15" s="22">
        <f t="shared" si="1"/>
        <v>12486</v>
      </c>
      <c r="K15" s="23">
        <f t="shared" si="2"/>
        <v>0.1566900083</v>
      </c>
      <c r="L15" s="19" t="str">
        <f>VLOOKUP(F15,Pedidos!$A:$L,8,FALSE)</f>
        <v>Débito/Crédito</v>
      </c>
      <c r="M15" s="19" t="str">
        <f>VLOOKUP(F15,Pedidos!$A:$L,7,FALSE)</f>
        <v>Despachado</v>
      </c>
    </row>
    <row r="16">
      <c r="A16" s="24">
        <f>VLOOKUP(F16,Pedidos!$A:$L,2,FALSE)</f>
        <v>46151</v>
      </c>
      <c r="B16" s="19" t="str">
        <f>VLOOKUP(F16,Pedidos!$A:$L,3,FALSE)</f>
        <v>Almacén Don Pedro</v>
      </c>
      <c r="C16" s="19" t="str">
        <f>VLOOKUP(F16,Pedidos!$A:$L,4,FALSE)</f>
        <v>Villarrica</v>
      </c>
      <c r="D16" s="19" t="str">
        <f>VLOOKUP(F16,Pedidos!$A:$L,5,FALSE)</f>
        <v>Segunda Faja</v>
      </c>
      <c r="E16" s="19" t="str">
        <f>VLOOKUP(F16,Pedidos!$A:$L,6,FALSE)</f>
        <v>Ruta 2</v>
      </c>
      <c r="F16" s="19" t="str">
        <f>Detalle_Pedidos!A16</f>
        <v>PED-1005</v>
      </c>
      <c r="G16" s="19" t="str">
        <f>Detalle_Pedidos!C16</f>
        <v>Energética Score Gorilla 735 ml</v>
      </c>
      <c r="H16" s="22">
        <f>Detalle_Pedidos!F16</f>
        <v>18382.5</v>
      </c>
      <c r="I16" s="22">
        <f>Detalle_Pedidos!D16*Detalle_Pedidos!G16</f>
        <v>12300</v>
      </c>
      <c r="J16" s="22">
        <f t="shared" si="1"/>
        <v>6082.5</v>
      </c>
      <c r="K16" s="23">
        <f t="shared" si="2"/>
        <v>0.3308853529</v>
      </c>
      <c r="L16" s="19" t="str">
        <f>VLOOKUP(F16,Pedidos!$A:$L,8,FALSE)</f>
        <v>Efectivo</v>
      </c>
      <c r="M16" s="19" t="str">
        <f>VLOOKUP(F16,Pedidos!$A:$L,7,FALSE)</f>
        <v>Despachado</v>
      </c>
    </row>
    <row r="17">
      <c r="A17" s="24">
        <f>VLOOKUP(F17,Pedidos!$A:$L,2,FALSE)</f>
        <v>46151</v>
      </c>
      <c r="B17" s="19" t="str">
        <f>VLOOKUP(F17,Pedidos!$A:$L,3,FALSE)</f>
        <v>Almacén Don Pedro</v>
      </c>
      <c r="C17" s="19" t="str">
        <f>VLOOKUP(F17,Pedidos!$A:$L,4,FALSE)</f>
        <v>Villarrica</v>
      </c>
      <c r="D17" s="19" t="str">
        <f>VLOOKUP(F17,Pedidos!$A:$L,5,FALSE)</f>
        <v>Segunda Faja</v>
      </c>
      <c r="E17" s="19" t="str">
        <f>VLOOKUP(F17,Pedidos!$A:$L,6,FALSE)</f>
        <v>Ruta 2</v>
      </c>
      <c r="F17" s="19" t="str">
        <f>Detalle_Pedidos!A17</f>
        <v>PED-1005</v>
      </c>
      <c r="G17" s="19" t="str">
        <f>Detalle_Pedidos!C17</f>
        <v>Huevos Extra caja 180 un</v>
      </c>
      <c r="H17" s="22">
        <f>Detalle_Pedidos!F17</f>
        <v>500460</v>
      </c>
      <c r="I17" s="22">
        <f>Detalle_Pedidos!D17*Detalle_Pedidos!G17</f>
        <v>483600</v>
      </c>
      <c r="J17" s="22">
        <f t="shared" si="1"/>
        <v>16860</v>
      </c>
      <c r="K17" s="23">
        <f t="shared" si="2"/>
        <v>0.03368900611</v>
      </c>
      <c r="L17" s="19" t="str">
        <f>VLOOKUP(F17,Pedidos!$A:$L,8,FALSE)</f>
        <v>Efectivo</v>
      </c>
      <c r="M17" s="19" t="str">
        <f>VLOOKUP(F17,Pedidos!$A:$L,7,FALSE)</f>
        <v>Despachado</v>
      </c>
    </row>
    <row r="18">
      <c r="A18" s="24">
        <f>VLOOKUP(F18,Pedidos!$A:$L,2,FALSE)</f>
        <v>46151</v>
      </c>
      <c r="B18" s="19" t="str">
        <f>VLOOKUP(F18,Pedidos!$A:$L,3,FALSE)</f>
        <v>Almacén Don Pedro</v>
      </c>
      <c r="C18" s="19" t="str">
        <f>VLOOKUP(F18,Pedidos!$A:$L,4,FALSE)</f>
        <v>Villarrica</v>
      </c>
      <c r="D18" s="19" t="str">
        <f>VLOOKUP(F18,Pedidos!$A:$L,5,FALSE)</f>
        <v>Segunda Faja</v>
      </c>
      <c r="E18" s="19" t="str">
        <f>VLOOKUP(F18,Pedidos!$A:$L,6,FALSE)</f>
        <v>Ruta 2</v>
      </c>
      <c r="F18" s="19" t="str">
        <f>Detalle_Pedidos!A18</f>
        <v>PED-1005</v>
      </c>
      <c r="G18" s="19" t="str">
        <f>Detalle_Pedidos!C18</f>
        <v>Leña saco pino</v>
      </c>
      <c r="H18" s="22">
        <f>Detalle_Pedidos!F18</f>
        <v>66500</v>
      </c>
      <c r="I18" s="22">
        <f>Detalle_Pedidos!D18*Detalle_Pedidos!G18</f>
        <v>50000</v>
      </c>
      <c r="J18" s="22">
        <f t="shared" si="1"/>
        <v>16500</v>
      </c>
      <c r="K18" s="23">
        <f t="shared" si="2"/>
        <v>0.2481203008</v>
      </c>
      <c r="L18" s="19" t="str">
        <f>VLOOKUP(F18,Pedidos!$A:$L,8,FALSE)</f>
        <v>Efectivo</v>
      </c>
      <c r="M18" s="19" t="str">
        <f>VLOOKUP(F18,Pedidos!$A:$L,7,FALSE)</f>
        <v>Despachado</v>
      </c>
    </row>
    <row r="19">
      <c r="A19" s="24">
        <f>VLOOKUP(F19,Pedidos!$A:$L,2,FALSE)</f>
        <v>46151</v>
      </c>
      <c r="B19" s="19" t="str">
        <f>VLOOKUP(F19,Pedidos!$A:$L,3,FALSE)</f>
        <v>Almacén Don Pedro</v>
      </c>
      <c r="C19" s="19" t="str">
        <f>VLOOKUP(F19,Pedidos!$A:$L,4,FALSE)</f>
        <v>Villarrica</v>
      </c>
      <c r="D19" s="19" t="str">
        <f>VLOOKUP(F19,Pedidos!$A:$L,5,FALSE)</f>
        <v>Segunda Faja</v>
      </c>
      <c r="E19" s="19" t="str">
        <f>VLOOKUP(F19,Pedidos!$A:$L,6,FALSE)</f>
        <v>Ruta 2</v>
      </c>
      <c r="F19" s="19" t="str">
        <f>Detalle_Pedidos!A19</f>
        <v>PED-1005</v>
      </c>
      <c r="G19" s="19" t="str">
        <f>Detalle_Pedidos!C19</f>
        <v>Café sobre caja 20 un</v>
      </c>
      <c r="H19" s="22">
        <f>Detalle_Pedidos!F19</f>
        <v>263560</v>
      </c>
      <c r="I19" s="22">
        <f>Detalle_Pedidos!D19*Detalle_Pedidos!G19</f>
        <v>217500</v>
      </c>
      <c r="J19" s="22">
        <f t="shared" si="1"/>
        <v>46060</v>
      </c>
      <c r="K19" s="23">
        <f t="shared" si="2"/>
        <v>0.1747609652</v>
      </c>
      <c r="L19" s="19" t="str">
        <f>VLOOKUP(F19,Pedidos!$A:$L,8,FALSE)</f>
        <v>Efectivo</v>
      </c>
      <c r="M19" s="19" t="str">
        <f>VLOOKUP(F19,Pedidos!$A:$L,7,FALSE)</f>
        <v>Despachado</v>
      </c>
    </row>
    <row r="20">
      <c r="A20" s="24">
        <f>VLOOKUP(F20,Pedidos!$A:$L,2,FALSE)</f>
        <v>46148</v>
      </c>
      <c r="B20" s="19" t="str">
        <f>VLOOKUP(F20,Pedidos!$A:$L,3,FALSE)</f>
        <v>Café Araucanía</v>
      </c>
      <c r="C20" s="19" t="str">
        <f>VLOOKUP(F20,Pedidos!$A:$L,4,FALSE)</f>
        <v>Pucón</v>
      </c>
      <c r="D20" s="19" t="str">
        <f>VLOOKUP(F20,Pedidos!$A:$L,5,FALSE)</f>
        <v>Camino Internacional</v>
      </c>
      <c r="E20" s="19" t="str">
        <f>VLOOKUP(F20,Pedidos!$A:$L,6,FALSE)</f>
        <v>Jorge</v>
      </c>
      <c r="F20" s="19" t="str">
        <f>Detalle_Pedidos!A20</f>
        <v>PED-1006</v>
      </c>
      <c r="G20" s="19" t="str">
        <f>Detalle_Pedidos!C20</f>
        <v>Lavalozas 750 ml</v>
      </c>
      <c r="H20" s="22">
        <f>Detalle_Pedidos!F20</f>
        <v>14155</v>
      </c>
      <c r="I20" s="22">
        <f>Detalle_Pedidos!D20*Detalle_Pedidos!G20</f>
        <v>9500</v>
      </c>
      <c r="J20" s="22">
        <f t="shared" si="1"/>
        <v>4655</v>
      </c>
      <c r="K20" s="23">
        <f t="shared" si="2"/>
        <v>0.3288590604</v>
      </c>
      <c r="L20" s="19" t="str">
        <f>VLOOKUP(F20,Pedidos!$A:$L,8,FALSE)</f>
        <v>Transferencia</v>
      </c>
      <c r="M20" s="19" t="str">
        <f>VLOOKUP(F20,Pedidos!$A:$L,7,FALSE)</f>
        <v>Preparando</v>
      </c>
    </row>
    <row r="21" ht="15.75" customHeight="1">
      <c r="A21" s="24">
        <f>VLOOKUP(F21,Pedidos!$A:$L,2,FALSE)</f>
        <v>46148</v>
      </c>
      <c r="B21" s="19" t="str">
        <f>VLOOKUP(F21,Pedidos!$A:$L,3,FALSE)</f>
        <v>Café Araucanía</v>
      </c>
      <c r="C21" s="19" t="str">
        <f>VLOOKUP(F21,Pedidos!$A:$L,4,FALSE)</f>
        <v>Pucón</v>
      </c>
      <c r="D21" s="19" t="str">
        <f>VLOOKUP(F21,Pedidos!$A:$L,5,FALSE)</f>
        <v>Camino Internacional</v>
      </c>
      <c r="E21" s="19" t="str">
        <f>VLOOKUP(F21,Pedidos!$A:$L,6,FALSE)</f>
        <v>Jorge</v>
      </c>
      <c r="F21" s="19" t="str">
        <f>Detalle_Pedidos!A21</f>
        <v>PED-1006</v>
      </c>
      <c r="G21" s="19" t="str">
        <f>Detalle_Pedidos!C21</f>
        <v>Energética Score Gorilla 735 ml</v>
      </c>
      <c r="H21" s="22">
        <f>Detalle_Pedidos!F21</f>
        <v>35604</v>
      </c>
      <c r="I21" s="22">
        <f>Detalle_Pedidos!D21*Detalle_Pedidos!G21</f>
        <v>24600</v>
      </c>
      <c r="J21" s="22">
        <f t="shared" si="1"/>
        <v>11004</v>
      </c>
      <c r="K21" s="23">
        <f t="shared" si="2"/>
        <v>0.309066397</v>
      </c>
      <c r="L21" s="19" t="str">
        <f>VLOOKUP(F21,Pedidos!$A:$L,8,FALSE)</f>
        <v>Transferencia</v>
      </c>
      <c r="M21" s="19" t="str">
        <f>VLOOKUP(F21,Pedidos!$A:$L,7,FALSE)</f>
        <v>Preparando</v>
      </c>
    </row>
    <row r="22" ht="15.75" customHeight="1">
      <c r="A22" s="24">
        <f>VLOOKUP(F22,Pedidos!$A:$L,2,FALSE)</f>
        <v>46148</v>
      </c>
      <c r="B22" s="19" t="str">
        <f>VLOOKUP(F22,Pedidos!$A:$L,3,FALSE)</f>
        <v>Café Araucanía</v>
      </c>
      <c r="C22" s="19" t="str">
        <f>VLOOKUP(F22,Pedidos!$A:$L,4,FALSE)</f>
        <v>Pucón</v>
      </c>
      <c r="D22" s="19" t="str">
        <f>VLOOKUP(F22,Pedidos!$A:$L,5,FALSE)</f>
        <v>Camino Internacional</v>
      </c>
      <c r="E22" s="19" t="str">
        <f>VLOOKUP(F22,Pedidos!$A:$L,6,FALSE)</f>
        <v>Jorge</v>
      </c>
      <c r="F22" s="19" t="str">
        <f>Detalle_Pedidos!A22</f>
        <v>PED-1006</v>
      </c>
      <c r="G22" s="19" t="str">
        <f>Detalle_Pedidos!C22</f>
        <v>Papel Higiénico 12 rollos</v>
      </c>
      <c r="H22" s="22">
        <f>Detalle_Pedidos!F22</f>
        <v>132810</v>
      </c>
      <c r="I22" s="22">
        <f>Detalle_Pedidos!D22*Detalle_Pedidos!G22</f>
        <v>112000</v>
      </c>
      <c r="J22" s="22">
        <f t="shared" si="1"/>
        <v>20810</v>
      </c>
      <c r="K22" s="23">
        <f t="shared" si="2"/>
        <v>0.1566900083</v>
      </c>
      <c r="L22" s="19" t="str">
        <f>VLOOKUP(F22,Pedidos!$A:$L,8,FALSE)</f>
        <v>Transferencia</v>
      </c>
      <c r="M22" s="19" t="str">
        <f>VLOOKUP(F22,Pedidos!$A:$L,7,FALSE)</f>
        <v>Preparando</v>
      </c>
    </row>
    <row r="23" ht="15.75" customHeight="1">
      <c r="A23" s="24">
        <f>VLOOKUP(F23,Pedidos!$A:$L,2,FALSE)</f>
        <v>46148</v>
      </c>
      <c r="B23" s="19" t="str">
        <f>VLOOKUP(F23,Pedidos!$A:$L,3,FALSE)</f>
        <v>Café Araucanía</v>
      </c>
      <c r="C23" s="19" t="str">
        <f>VLOOKUP(F23,Pedidos!$A:$L,4,FALSE)</f>
        <v>Pucón</v>
      </c>
      <c r="D23" s="19" t="str">
        <f>VLOOKUP(F23,Pedidos!$A:$L,5,FALSE)</f>
        <v>Camino Internacional</v>
      </c>
      <c r="E23" s="19" t="str">
        <f>VLOOKUP(F23,Pedidos!$A:$L,6,FALSE)</f>
        <v>Jorge</v>
      </c>
      <c r="F23" s="19" t="str">
        <f>Detalle_Pedidos!A23</f>
        <v>PED-1006</v>
      </c>
      <c r="G23" s="19" t="str">
        <f>Detalle_Pedidos!C23</f>
        <v>Carbón bolsa 2.5 kg</v>
      </c>
      <c r="H23" s="22">
        <f>Detalle_Pedidos!F23</f>
        <v>18126</v>
      </c>
      <c r="I23" s="22">
        <f>Detalle_Pedidos!D23*Detalle_Pedidos!G23</f>
        <v>13560</v>
      </c>
      <c r="J23" s="22">
        <f t="shared" si="1"/>
        <v>4566</v>
      </c>
      <c r="K23" s="23">
        <f t="shared" si="2"/>
        <v>0.2519033433</v>
      </c>
      <c r="L23" s="19" t="str">
        <f>VLOOKUP(F23,Pedidos!$A:$L,8,FALSE)</f>
        <v>Transferencia</v>
      </c>
      <c r="M23" s="19" t="str">
        <f>VLOOKUP(F23,Pedidos!$A:$L,7,FALSE)</f>
        <v>Preparando</v>
      </c>
    </row>
    <row r="24" ht="15.75" customHeight="1">
      <c r="A24" s="24">
        <f>VLOOKUP(F24,Pedidos!$A:$L,2,FALSE)</f>
        <v>46150</v>
      </c>
      <c r="B24" s="19" t="str">
        <f>VLOOKUP(F24,Pedidos!$A:$L,3,FALSE)</f>
        <v>Panadería San José</v>
      </c>
      <c r="C24" s="19" t="str">
        <f>VLOOKUP(F24,Pedidos!$A:$L,4,FALSE)</f>
        <v>Pitrufquén</v>
      </c>
      <c r="D24" s="19" t="str">
        <f>VLOOKUP(F24,Pedidos!$A:$L,5,FALSE)</f>
        <v>Centro</v>
      </c>
      <c r="E24" s="19" t="str">
        <f>VLOOKUP(F24,Pedidos!$A:$L,6,FALSE)</f>
        <v>Ruta 2</v>
      </c>
      <c r="F24" s="19" t="str">
        <f>Detalle_Pedidos!A24</f>
        <v>PED-1007</v>
      </c>
      <c r="G24" s="19" t="str">
        <f>Detalle_Pedidos!C24</f>
        <v>Café sobre caja 20 un</v>
      </c>
      <c r="H24" s="22">
        <f>Detalle_Pedidos!F24</f>
        <v>29950</v>
      </c>
      <c r="I24" s="22">
        <f>Detalle_Pedidos!D24*Detalle_Pedidos!G24</f>
        <v>21750</v>
      </c>
      <c r="J24" s="22">
        <f t="shared" si="1"/>
        <v>8200</v>
      </c>
      <c r="K24" s="23">
        <f t="shared" si="2"/>
        <v>0.2737896494</v>
      </c>
      <c r="L24" s="19" t="str">
        <f>VLOOKUP(F24,Pedidos!$A:$L,8,FALSE)</f>
        <v>Efectivo</v>
      </c>
      <c r="M24" s="19" t="str">
        <f>VLOOKUP(F24,Pedidos!$A:$L,7,FALSE)</f>
        <v>Preparando</v>
      </c>
    </row>
    <row r="25" ht="15.75" customHeight="1">
      <c r="A25" s="24">
        <f>VLOOKUP(F25,Pedidos!$A:$L,2,FALSE)</f>
        <v>46150</v>
      </c>
      <c r="B25" s="19" t="str">
        <f>VLOOKUP(F25,Pedidos!$A:$L,3,FALSE)</f>
        <v>Panadería San José</v>
      </c>
      <c r="C25" s="19" t="str">
        <f>VLOOKUP(F25,Pedidos!$A:$L,4,FALSE)</f>
        <v>Pitrufquén</v>
      </c>
      <c r="D25" s="19" t="str">
        <f>VLOOKUP(F25,Pedidos!$A:$L,5,FALSE)</f>
        <v>Centro</v>
      </c>
      <c r="E25" s="19" t="str">
        <f>VLOOKUP(F25,Pedidos!$A:$L,6,FALSE)</f>
        <v>Ruta 2</v>
      </c>
      <c r="F25" s="19" t="str">
        <f>Detalle_Pedidos!A25</f>
        <v>PED-1007</v>
      </c>
      <c r="G25" s="19" t="str">
        <f>Detalle_Pedidos!C25</f>
        <v>Huevos Primera bandeja 30 un</v>
      </c>
      <c r="H25" s="22">
        <f>Detalle_Pedidos!F25</f>
        <v>85500</v>
      </c>
      <c r="I25" s="22">
        <f>Detalle_Pedidos!D25*Detalle_Pedidos!G25</f>
        <v>75600</v>
      </c>
      <c r="J25" s="22">
        <f t="shared" si="1"/>
        <v>9900</v>
      </c>
      <c r="K25" s="23">
        <f t="shared" si="2"/>
        <v>0.1157894737</v>
      </c>
      <c r="L25" s="19" t="str">
        <f>VLOOKUP(F25,Pedidos!$A:$L,8,FALSE)</f>
        <v>Efectivo</v>
      </c>
      <c r="M25" s="19" t="str">
        <f>VLOOKUP(F25,Pedidos!$A:$L,7,FALSE)</f>
        <v>Preparando</v>
      </c>
    </row>
    <row r="26" ht="15.75" customHeight="1">
      <c r="A26" s="24">
        <f>VLOOKUP(F26,Pedidos!$A:$L,2,FALSE)</f>
        <v>46150</v>
      </c>
      <c r="B26" s="19" t="str">
        <f>VLOOKUP(F26,Pedidos!$A:$L,3,FALSE)</f>
        <v>Cabañas Vista Lago</v>
      </c>
      <c r="C26" s="19" t="str">
        <f>VLOOKUP(F26,Pedidos!$A:$L,4,FALSE)</f>
        <v>Pucón</v>
      </c>
      <c r="D26" s="19" t="str">
        <f>VLOOKUP(F26,Pedidos!$A:$L,5,FALSE)</f>
        <v>Costanera</v>
      </c>
      <c r="E26" s="19" t="str">
        <f>VLOOKUP(F26,Pedidos!$A:$L,6,FALSE)</f>
        <v>Jorge</v>
      </c>
      <c r="F26" s="19" t="str">
        <f>Detalle_Pedidos!A26</f>
        <v>PED-1008</v>
      </c>
      <c r="G26" s="19" t="str">
        <f>Detalle_Pedidos!C26</f>
        <v>Carbón bolsa 2.5 kg</v>
      </c>
      <c r="H26" s="22">
        <f>Detalle_Pedidos!F26</f>
        <v>18126</v>
      </c>
      <c r="I26" s="22">
        <f>Detalle_Pedidos!D26*Detalle_Pedidos!G26</f>
        <v>13560</v>
      </c>
      <c r="J26" s="22">
        <f t="shared" si="1"/>
        <v>4566</v>
      </c>
      <c r="K26" s="23">
        <f t="shared" si="2"/>
        <v>0.2519033433</v>
      </c>
      <c r="L26" s="19" t="str">
        <f>VLOOKUP(F26,Pedidos!$A:$L,8,FALSE)</f>
        <v>Efectivo</v>
      </c>
      <c r="M26" s="19" t="str">
        <f>VLOOKUP(F26,Pedidos!$A:$L,7,FALSE)</f>
        <v>Pendiente</v>
      </c>
    </row>
    <row r="27" ht="15.75" customHeight="1">
      <c r="A27" s="24">
        <f>VLOOKUP(F27,Pedidos!$A:$L,2,FALSE)</f>
        <v>46150</v>
      </c>
      <c r="B27" s="19" t="str">
        <f>VLOOKUP(F27,Pedidos!$A:$L,3,FALSE)</f>
        <v>Cabañas Vista Lago</v>
      </c>
      <c r="C27" s="19" t="str">
        <f>VLOOKUP(F27,Pedidos!$A:$L,4,FALSE)</f>
        <v>Pucón</v>
      </c>
      <c r="D27" s="19" t="str">
        <f>VLOOKUP(F27,Pedidos!$A:$L,5,FALSE)</f>
        <v>Costanera</v>
      </c>
      <c r="E27" s="19" t="str">
        <f>VLOOKUP(F27,Pedidos!$A:$L,6,FALSE)</f>
        <v>Jorge</v>
      </c>
      <c r="F27" s="19" t="str">
        <f>Detalle_Pedidos!A27</f>
        <v>PED-1008</v>
      </c>
      <c r="G27" s="19" t="str">
        <f>Detalle_Pedidos!C27</f>
        <v>Lavalozas 750 ml</v>
      </c>
      <c r="H27" s="22">
        <f>Detalle_Pedidos!F27</f>
        <v>65560</v>
      </c>
      <c r="I27" s="22">
        <f>Detalle_Pedidos!D27*Detalle_Pedidos!G27</f>
        <v>47500</v>
      </c>
      <c r="J27" s="22">
        <f t="shared" si="1"/>
        <v>18060</v>
      </c>
      <c r="K27" s="23">
        <f t="shared" si="2"/>
        <v>0.2754728493</v>
      </c>
      <c r="L27" s="19" t="str">
        <f>VLOOKUP(F27,Pedidos!$A:$L,8,FALSE)</f>
        <v>Efectivo</v>
      </c>
      <c r="M27" s="19" t="str">
        <f>VLOOKUP(F27,Pedidos!$A:$L,7,FALSE)</f>
        <v>Pendiente</v>
      </c>
    </row>
    <row r="28" ht="15.75" customHeight="1">
      <c r="A28" s="24">
        <f>VLOOKUP(F28,Pedidos!$A:$L,2,FALSE)</f>
        <v>46150</v>
      </c>
      <c r="B28" s="19" t="str">
        <f>VLOOKUP(F28,Pedidos!$A:$L,3,FALSE)</f>
        <v>Cabañas Vista Lago</v>
      </c>
      <c r="C28" s="19" t="str">
        <f>VLOOKUP(F28,Pedidos!$A:$L,4,FALSE)</f>
        <v>Pucón</v>
      </c>
      <c r="D28" s="19" t="str">
        <f>VLOOKUP(F28,Pedidos!$A:$L,5,FALSE)</f>
        <v>Costanera</v>
      </c>
      <c r="E28" s="19" t="str">
        <f>VLOOKUP(F28,Pedidos!$A:$L,6,FALSE)</f>
        <v>Jorge</v>
      </c>
      <c r="F28" s="19" t="str">
        <f>Detalle_Pedidos!A28</f>
        <v>PED-1008</v>
      </c>
      <c r="G28" s="19" t="str">
        <f>Detalle_Pedidos!C28</f>
        <v>Agua pack 6 unidades</v>
      </c>
      <c r="H28" s="22">
        <f>Detalle_Pedidos!F28</f>
        <v>66310</v>
      </c>
      <c r="I28" s="22">
        <f>Detalle_Pedidos!D28*Detalle_Pedidos!G28</f>
        <v>50000</v>
      </c>
      <c r="J28" s="22">
        <f t="shared" si="1"/>
        <v>16310</v>
      </c>
      <c r="K28" s="23">
        <f t="shared" si="2"/>
        <v>0.2459659177</v>
      </c>
      <c r="L28" s="19" t="str">
        <f>VLOOKUP(F28,Pedidos!$A:$L,8,FALSE)</f>
        <v>Efectivo</v>
      </c>
      <c r="M28" s="19" t="str">
        <f>VLOOKUP(F28,Pedidos!$A:$L,7,FALSE)</f>
        <v>Pendiente</v>
      </c>
    </row>
    <row r="29" ht="15.75" customHeight="1">
      <c r="A29" s="24">
        <f>VLOOKUP(F29,Pedidos!$A:$L,2,FALSE)</f>
        <v>46150</v>
      </c>
      <c r="B29" s="19" t="str">
        <f>VLOOKUP(F29,Pedidos!$A:$L,3,FALSE)</f>
        <v>Cabañas Vista Lago</v>
      </c>
      <c r="C29" s="19" t="str">
        <f>VLOOKUP(F29,Pedidos!$A:$L,4,FALSE)</f>
        <v>Pucón</v>
      </c>
      <c r="D29" s="19" t="str">
        <f>VLOOKUP(F29,Pedidos!$A:$L,5,FALSE)</f>
        <v>Costanera</v>
      </c>
      <c r="E29" s="19" t="str">
        <f>VLOOKUP(F29,Pedidos!$A:$L,6,FALSE)</f>
        <v>Jorge</v>
      </c>
      <c r="F29" s="19" t="str">
        <f>Detalle_Pedidos!A29</f>
        <v>PED-1008</v>
      </c>
      <c r="G29" s="19" t="str">
        <f>Detalle_Pedidos!C29</f>
        <v>Pellet saco 15 kg</v>
      </c>
      <c r="H29" s="22">
        <f>Detalle_Pedidos!F29</f>
        <v>167200</v>
      </c>
      <c r="I29" s="22">
        <f>Detalle_Pedidos!D29*Detalle_Pedidos!G29</f>
        <v>143000</v>
      </c>
      <c r="J29" s="22">
        <f t="shared" si="1"/>
        <v>24200</v>
      </c>
      <c r="K29" s="23">
        <f t="shared" si="2"/>
        <v>0.1447368421</v>
      </c>
      <c r="L29" s="19" t="str">
        <f>VLOOKUP(F29,Pedidos!$A:$L,8,FALSE)</f>
        <v>Efectivo</v>
      </c>
      <c r="M29" s="19" t="str">
        <f>VLOOKUP(F29,Pedidos!$A:$L,7,FALSE)</f>
        <v>Pendiente</v>
      </c>
    </row>
    <row r="30" ht="15.75" customHeight="1">
      <c r="A30" s="24">
        <f>VLOOKUP(F30,Pedidos!$A:$L,2,FALSE)</f>
        <v>46144</v>
      </c>
      <c r="B30" s="19" t="str">
        <f>VLOOKUP(F30,Pedidos!$A:$L,3,FALSE)</f>
        <v>Café Araucanía</v>
      </c>
      <c r="C30" s="19" t="str">
        <f>VLOOKUP(F30,Pedidos!$A:$L,4,FALSE)</f>
        <v>Pucón</v>
      </c>
      <c r="D30" s="19" t="str">
        <f>VLOOKUP(F30,Pedidos!$A:$L,5,FALSE)</f>
        <v>Camino Internacional</v>
      </c>
      <c r="E30" s="19" t="str">
        <f>VLOOKUP(F30,Pedidos!$A:$L,6,FALSE)</f>
        <v>Ruta 1</v>
      </c>
      <c r="F30" s="19" t="str">
        <f>Detalle_Pedidos!A30</f>
        <v>PED-1009</v>
      </c>
      <c r="G30" s="19" t="str">
        <f>Detalle_Pedidos!C30</f>
        <v>Leña saco pino</v>
      </c>
      <c r="H30" s="22">
        <f>Detalle_Pedidos!F30</f>
        <v>154000</v>
      </c>
      <c r="I30" s="22">
        <f>Detalle_Pedidos!D30*Detalle_Pedidos!G30</f>
        <v>125000</v>
      </c>
      <c r="J30" s="22">
        <f t="shared" si="1"/>
        <v>29000</v>
      </c>
      <c r="K30" s="23">
        <f t="shared" si="2"/>
        <v>0.1883116883</v>
      </c>
      <c r="L30" s="19" t="str">
        <f>VLOOKUP(F30,Pedidos!$A:$L,8,FALSE)</f>
        <v>Crédito 7 días</v>
      </c>
      <c r="M30" s="19" t="str">
        <f>VLOOKUP(F30,Pedidos!$A:$L,7,FALSE)</f>
        <v>Despachado</v>
      </c>
    </row>
    <row r="31" ht="15.75" customHeight="1">
      <c r="A31" s="24">
        <f>VLOOKUP(F31,Pedidos!$A:$L,2,FALSE)</f>
        <v>46144</v>
      </c>
      <c r="B31" s="19" t="str">
        <f>VLOOKUP(F31,Pedidos!$A:$L,3,FALSE)</f>
        <v>Café Araucanía</v>
      </c>
      <c r="C31" s="19" t="str">
        <f>VLOOKUP(F31,Pedidos!$A:$L,4,FALSE)</f>
        <v>Pucón</v>
      </c>
      <c r="D31" s="19" t="str">
        <f>VLOOKUP(F31,Pedidos!$A:$L,5,FALSE)</f>
        <v>Camino Internacional</v>
      </c>
      <c r="E31" s="19" t="str">
        <f>VLOOKUP(F31,Pedidos!$A:$L,6,FALSE)</f>
        <v>Ruta 1</v>
      </c>
      <c r="F31" s="19" t="str">
        <f>Detalle_Pedidos!A31</f>
        <v>PED-1009</v>
      </c>
      <c r="G31" s="19" t="str">
        <f>Detalle_Pedidos!C31</f>
        <v>Papel Higiénico 12 rollos</v>
      </c>
      <c r="H31" s="22">
        <f>Detalle_Pedidos!F31</f>
        <v>132810</v>
      </c>
      <c r="I31" s="22">
        <f>Detalle_Pedidos!D31*Detalle_Pedidos!G31</f>
        <v>112000</v>
      </c>
      <c r="J31" s="22">
        <f t="shared" si="1"/>
        <v>20810</v>
      </c>
      <c r="K31" s="23">
        <f t="shared" si="2"/>
        <v>0.1566900083</v>
      </c>
      <c r="L31" s="19" t="str">
        <f>VLOOKUP(F31,Pedidos!$A:$L,8,FALSE)</f>
        <v>Crédito 7 días</v>
      </c>
      <c r="M31" s="19" t="str">
        <f>VLOOKUP(F31,Pedidos!$A:$L,7,FALSE)</f>
        <v>Despachado</v>
      </c>
    </row>
    <row r="32" ht="15.75" customHeight="1">
      <c r="A32" s="24">
        <f>VLOOKUP(F32,Pedidos!$A:$L,2,FALSE)</f>
        <v>46144</v>
      </c>
      <c r="B32" s="19" t="str">
        <f>VLOOKUP(F32,Pedidos!$A:$L,3,FALSE)</f>
        <v>Café Araucanía</v>
      </c>
      <c r="C32" s="19" t="str">
        <f>VLOOKUP(F32,Pedidos!$A:$L,4,FALSE)</f>
        <v>Pucón</v>
      </c>
      <c r="D32" s="19" t="str">
        <f>VLOOKUP(F32,Pedidos!$A:$L,5,FALSE)</f>
        <v>Camino Internacional</v>
      </c>
      <c r="E32" s="19" t="str">
        <f>VLOOKUP(F32,Pedidos!$A:$L,6,FALSE)</f>
        <v>Ruta 1</v>
      </c>
      <c r="F32" s="19" t="str">
        <f>Detalle_Pedidos!A32</f>
        <v>PED-1009</v>
      </c>
      <c r="G32" s="19" t="str">
        <f>Detalle_Pedidos!C32</f>
        <v>Papel Higiénico 4 rollos</v>
      </c>
      <c r="H32" s="22">
        <f>Detalle_Pedidos!F32</f>
        <v>23655</v>
      </c>
      <c r="I32" s="22">
        <f>Detalle_Pedidos!D32*Detalle_Pedidos!G32</f>
        <v>19700</v>
      </c>
      <c r="J32" s="22">
        <f t="shared" si="1"/>
        <v>3955</v>
      </c>
      <c r="K32" s="23">
        <f t="shared" si="2"/>
        <v>0.1671950962</v>
      </c>
      <c r="L32" s="19" t="str">
        <f>VLOOKUP(F32,Pedidos!$A:$L,8,FALSE)</f>
        <v>Crédito 7 días</v>
      </c>
      <c r="M32" s="19" t="str">
        <f>VLOOKUP(F32,Pedidos!$A:$L,7,FALSE)</f>
        <v>Despachado</v>
      </c>
    </row>
    <row r="33" ht="15.75" customHeight="1">
      <c r="A33" s="24">
        <f>VLOOKUP(F33,Pedidos!$A:$L,2,FALSE)</f>
        <v>46144</v>
      </c>
      <c r="B33" s="19" t="str">
        <f>VLOOKUP(F33,Pedidos!$A:$L,3,FALSE)</f>
        <v>Café Araucanía</v>
      </c>
      <c r="C33" s="19" t="str">
        <f>VLOOKUP(F33,Pedidos!$A:$L,4,FALSE)</f>
        <v>Pucón</v>
      </c>
      <c r="D33" s="19" t="str">
        <f>VLOOKUP(F33,Pedidos!$A:$L,5,FALSE)</f>
        <v>Camino Internacional</v>
      </c>
      <c r="E33" s="19" t="str">
        <f>VLOOKUP(F33,Pedidos!$A:$L,6,FALSE)</f>
        <v>Ruta 1</v>
      </c>
      <c r="F33" s="19" t="str">
        <f>Detalle_Pedidos!A33</f>
        <v>PED-1009</v>
      </c>
      <c r="G33" s="19" t="str">
        <f>Detalle_Pedidos!C33</f>
        <v>Agua 1.5 L</v>
      </c>
      <c r="H33" s="22">
        <f>Detalle_Pedidos!F33</f>
        <v>11257.5</v>
      </c>
      <c r="I33" s="22">
        <f>Detalle_Pedidos!D33*Detalle_Pedidos!G33</f>
        <v>6300</v>
      </c>
      <c r="J33" s="22">
        <f t="shared" si="1"/>
        <v>4957.5</v>
      </c>
      <c r="K33" s="23">
        <f t="shared" si="2"/>
        <v>0.4403730846</v>
      </c>
      <c r="L33" s="19" t="str">
        <f>VLOOKUP(F33,Pedidos!$A:$L,8,FALSE)</f>
        <v>Crédito 7 días</v>
      </c>
      <c r="M33" s="19" t="str">
        <f>VLOOKUP(F33,Pedidos!$A:$L,7,FALSE)</f>
        <v>Despachado</v>
      </c>
    </row>
    <row r="34" ht="15.75" customHeight="1">
      <c r="A34" s="24">
        <f>VLOOKUP(F34,Pedidos!$A:$L,2,FALSE)</f>
        <v>46148</v>
      </c>
      <c r="B34" s="19" t="str">
        <f>VLOOKUP(F34,Pedidos!$A:$L,3,FALSE)</f>
        <v>Kiosco Plaza</v>
      </c>
      <c r="C34" s="19" t="str">
        <f>VLOOKUP(F34,Pedidos!$A:$L,4,FALSE)</f>
        <v>Villarrica</v>
      </c>
      <c r="D34" s="19" t="str">
        <f>VLOOKUP(F34,Pedidos!$A:$L,5,FALSE)</f>
        <v>Centro</v>
      </c>
      <c r="E34" s="19" t="str">
        <f>VLOOKUP(F34,Pedidos!$A:$L,6,FALSE)</f>
        <v>Ruta 1</v>
      </c>
      <c r="F34" s="19" t="str">
        <f>Detalle_Pedidos!A34</f>
        <v>PED-1010</v>
      </c>
      <c r="G34" s="19" t="str">
        <f>Detalle_Pedidos!C34</f>
        <v>Carbón bolsa 2.5 kg</v>
      </c>
      <c r="H34" s="22">
        <f>Detalle_Pedidos!F34</f>
        <v>30210</v>
      </c>
      <c r="I34" s="22">
        <f>Detalle_Pedidos!D34*Detalle_Pedidos!G34</f>
        <v>22600</v>
      </c>
      <c r="J34" s="22">
        <f t="shared" si="1"/>
        <v>7610</v>
      </c>
      <c r="K34" s="23">
        <f t="shared" si="2"/>
        <v>0.2519033433</v>
      </c>
      <c r="L34" s="19" t="str">
        <f>VLOOKUP(F34,Pedidos!$A:$L,8,FALSE)</f>
        <v>Débito/Crédito</v>
      </c>
      <c r="M34" s="19" t="str">
        <f>VLOOKUP(F34,Pedidos!$A:$L,7,FALSE)</f>
        <v>Despachado</v>
      </c>
    </row>
    <row r="35" ht="15.75" customHeight="1">
      <c r="A35" s="24">
        <f>VLOOKUP(F35,Pedidos!$A:$L,2,FALSE)</f>
        <v>46148</v>
      </c>
      <c r="B35" s="19" t="str">
        <f>VLOOKUP(F35,Pedidos!$A:$L,3,FALSE)</f>
        <v>Kiosco Plaza</v>
      </c>
      <c r="C35" s="19" t="str">
        <f>VLOOKUP(F35,Pedidos!$A:$L,4,FALSE)</f>
        <v>Villarrica</v>
      </c>
      <c r="D35" s="19" t="str">
        <f>VLOOKUP(F35,Pedidos!$A:$L,5,FALSE)</f>
        <v>Centro</v>
      </c>
      <c r="E35" s="19" t="str">
        <f>VLOOKUP(F35,Pedidos!$A:$L,6,FALSE)</f>
        <v>Ruta 1</v>
      </c>
      <c r="F35" s="19" t="str">
        <f>Detalle_Pedidos!A35</f>
        <v>PED-1010</v>
      </c>
      <c r="G35" s="19" t="str">
        <f>Detalle_Pedidos!C35</f>
        <v>Papel Higiénico 12 rollos</v>
      </c>
      <c r="H35" s="22">
        <f>Detalle_Pedidos!F35</f>
        <v>13980</v>
      </c>
      <c r="I35" s="22">
        <f>Detalle_Pedidos!D35*Detalle_Pedidos!G35</f>
        <v>11200</v>
      </c>
      <c r="J35" s="22">
        <f t="shared" si="1"/>
        <v>2780</v>
      </c>
      <c r="K35" s="23">
        <f t="shared" si="2"/>
        <v>0.1988555079</v>
      </c>
      <c r="L35" s="19" t="str">
        <f>VLOOKUP(F35,Pedidos!$A:$L,8,FALSE)</f>
        <v>Débito/Crédito</v>
      </c>
      <c r="M35" s="19" t="str">
        <f>VLOOKUP(F35,Pedidos!$A:$L,7,FALSE)</f>
        <v>Despachado</v>
      </c>
    </row>
    <row r="36" ht="15.75" customHeight="1">
      <c r="A36" s="24">
        <f>VLOOKUP(F36,Pedidos!$A:$L,2,FALSE)</f>
        <v>46155</v>
      </c>
      <c r="B36" s="19" t="str">
        <f>VLOOKUP(F36,Pedidos!$A:$L,3,FALSE)</f>
        <v>Restaurante El Fogón</v>
      </c>
      <c r="C36" s="19" t="str">
        <f>VLOOKUP(F36,Pedidos!$A:$L,4,FALSE)</f>
        <v>Pucón</v>
      </c>
      <c r="D36" s="19" t="str">
        <f>VLOOKUP(F36,Pedidos!$A:$L,5,FALSE)</f>
        <v>Centro</v>
      </c>
      <c r="E36" s="19" t="str">
        <f>VLOOKUP(F36,Pedidos!$A:$L,6,FALSE)</f>
        <v>Jorge</v>
      </c>
      <c r="F36" s="19" t="str">
        <f>Detalle_Pedidos!A36</f>
        <v>PED-1011</v>
      </c>
      <c r="G36" s="19" t="str">
        <f>Detalle_Pedidos!C36</f>
        <v>Huevos Primera bandeja 30 un</v>
      </c>
      <c r="H36" s="22">
        <f>Detalle_Pedidos!F36</f>
        <v>37500</v>
      </c>
      <c r="I36" s="22">
        <f>Detalle_Pedidos!D36*Detalle_Pedidos!G36</f>
        <v>31500</v>
      </c>
      <c r="J36" s="22">
        <f t="shared" si="1"/>
        <v>6000</v>
      </c>
      <c r="K36" s="23">
        <f t="shared" si="2"/>
        <v>0.16</v>
      </c>
      <c r="L36" s="19" t="str">
        <f>VLOOKUP(F36,Pedidos!$A:$L,8,FALSE)</f>
        <v>Transferencia</v>
      </c>
      <c r="M36" s="19" t="str">
        <f>VLOOKUP(F36,Pedidos!$A:$L,7,FALSE)</f>
        <v>Preparando</v>
      </c>
    </row>
    <row r="37" ht="15.75" customHeight="1">
      <c r="A37" s="24">
        <f>VLOOKUP(F37,Pedidos!$A:$L,2,FALSE)</f>
        <v>46155</v>
      </c>
      <c r="B37" s="19" t="str">
        <f>VLOOKUP(F37,Pedidos!$A:$L,3,FALSE)</f>
        <v>Restaurante El Fogón</v>
      </c>
      <c r="C37" s="19" t="str">
        <f>VLOOKUP(F37,Pedidos!$A:$L,4,FALSE)</f>
        <v>Pucón</v>
      </c>
      <c r="D37" s="19" t="str">
        <f>VLOOKUP(F37,Pedidos!$A:$L,5,FALSE)</f>
        <v>Centro</v>
      </c>
      <c r="E37" s="19" t="str">
        <f>VLOOKUP(F37,Pedidos!$A:$L,6,FALSE)</f>
        <v>Jorge</v>
      </c>
      <c r="F37" s="19" t="str">
        <f>Detalle_Pedidos!A37</f>
        <v>PED-1011</v>
      </c>
      <c r="G37" s="19" t="str">
        <f>Detalle_Pedidos!C37</f>
        <v>Huevos Extra caja 180 un</v>
      </c>
      <c r="H37" s="22">
        <f>Detalle_Pedidos!F37</f>
        <v>834100</v>
      </c>
      <c r="I37" s="22">
        <f>Detalle_Pedidos!D37*Detalle_Pedidos!G37</f>
        <v>806000</v>
      </c>
      <c r="J37" s="22">
        <f t="shared" si="1"/>
        <v>28100</v>
      </c>
      <c r="K37" s="23">
        <f t="shared" si="2"/>
        <v>0.03368900611</v>
      </c>
      <c r="L37" s="19" t="str">
        <f>VLOOKUP(F37,Pedidos!$A:$L,8,FALSE)</f>
        <v>Transferencia</v>
      </c>
      <c r="M37" s="19" t="str">
        <f>VLOOKUP(F37,Pedidos!$A:$L,7,FALSE)</f>
        <v>Preparando</v>
      </c>
    </row>
    <row r="38" ht="15.75" customHeight="1">
      <c r="A38" s="24">
        <f>VLOOKUP(F38,Pedidos!$A:$L,2,FALSE)</f>
        <v>46155</v>
      </c>
      <c r="B38" s="19" t="str">
        <f>VLOOKUP(F38,Pedidos!$A:$L,3,FALSE)</f>
        <v>Restaurante El Fogón</v>
      </c>
      <c r="C38" s="19" t="str">
        <f>VLOOKUP(F38,Pedidos!$A:$L,4,FALSE)</f>
        <v>Pucón</v>
      </c>
      <c r="D38" s="19" t="str">
        <f>VLOOKUP(F38,Pedidos!$A:$L,5,FALSE)</f>
        <v>Centro</v>
      </c>
      <c r="E38" s="19" t="str">
        <f>VLOOKUP(F38,Pedidos!$A:$L,6,FALSE)</f>
        <v>Jorge</v>
      </c>
      <c r="F38" s="19" t="str">
        <f>Detalle_Pedidos!A38</f>
        <v>PED-1011</v>
      </c>
      <c r="G38" s="19" t="str">
        <f>Detalle_Pedidos!C38</f>
        <v>Papel Higiénico 12 rollos</v>
      </c>
      <c r="H38" s="22">
        <f>Detalle_Pedidos!F38</f>
        <v>99607.5</v>
      </c>
      <c r="I38" s="22">
        <f>Detalle_Pedidos!D38*Detalle_Pedidos!G38</f>
        <v>84000</v>
      </c>
      <c r="J38" s="22">
        <f t="shared" si="1"/>
        <v>15607.5</v>
      </c>
      <c r="K38" s="23">
        <f t="shared" si="2"/>
        <v>0.1566900083</v>
      </c>
      <c r="L38" s="19" t="str">
        <f>VLOOKUP(F38,Pedidos!$A:$L,8,FALSE)</f>
        <v>Transferencia</v>
      </c>
      <c r="M38" s="19" t="str">
        <f>VLOOKUP(F38,Pedidos!$A:$L,7,FALSE)</f>
        <v>Preparando</v>
      </c>
    </row>
    <row r="39" ht="15.75" customHeight="1">
      <c r="A39" s="24">
        <f>VLOOKUP(F39,Pedidos!$A:$L,2,FALSE)</f>
        <v>46147</v>
      </c>
      <c r="B39" s="19" t="str">
        <f>VLOOKUP(F39,Pedidos!$A:$L,3,FALSE)</f>
        <v>Botillería El Cruce</v>
      </c>
      <c r="C39" s="19" t="str">
        <f>VLOOKUP(F39,Pedidos!$A:$L,4,FALSE)</f>
        <v>Ñancul</v>
      </c>
      <c r="D39" s="19" t="str">
        <f>VLOOKUP(F39,Pedidos!$A:$L,5,FALSE)</f>
        <v>Rural</v>
      </c>
      <c r="E39" s="19" t="str">
        <f>VLOOKUP(F39,Pedidos!$A:$L,6,FALSE)</f>
        <v>Ruta 1</v>
      </c>
      <c r="F39" s="19" t="str">
        <f>Detalle_Pedidos!A39</f>
        <v>PED-1012</v>
      </c>
      <c r="G39" s="19" t="str">
        <f>Detalle_Pedidos!C39</f>
        <v>Huevos Primera bandeja 30 un</v>
      </c>
      <c r="H39" s="22">
        <f>Detalle_Pedidos!F39</f>
        <v>45000</v>
      </c>
      <c r="I39" s="22">
        <f>Detalle_Pedidos!D39*Detalle_Pedidos!G39</f>
        <v>37800</v>
      </c>
      <c r="J39" s="22">
        <f t="shared" si="1"/>
        <v>7200</v>
      </c>
      <c r="K39" s="23">
        <f t="shared" si="2"/>
        <v>0.16</v>
      </c>
      <c r="L39" s="19" t="str">
        <f>VLOOKUP(F39,Pedidos!$A:$L,8,FALSE)</f>
        <v>Débito/Crédito</v>
      </c>
      <c r="M39" s="19" t="str">
        <f>VLOOKUP(F39,Pedidos!$A:$L,7,FALSE)</f>
        <v>Pagado</v>
      </c>
    </row>
    <row r="40" ht="15.75" customHeight="1">
      <c r="A40" s="24">
        <f>VLOOKUP(F40,Pedidos!$A:$L,2,FALSE)</f>
        <v>46147</v>
      </c>
      <c r="B40" s="19" t="str">
        <f>VLOOKUP(F40,Pedidos!$A:$L,3,FALSE)</f>
        <v>Botillería El Cruce</v>
      </c>
      <c r="C40" s="19" t="str">
        <f>VLOOKUP(F40,Pedidos!$A:$L,4,FALSE)</f>
        <v>Ñancul</v>
      </c>
      <c r="D40" s="19" t="str">
        <f>VLOOKUP(F40,Pedidos!$A:$L,5,FALSE)</f>
        <v>Rural</v>
      </c>
      <c r="E40" s="19" t="str">
        <f>VLOOKUP(F40,Pedidos!$A:$L,6,FALSE)</f>
        <v>Ruta 1</v>
      </c>
      <c r="F40" s="19" t="str">
        <f>Detalle_Pedidos!A40</f>
        <v>PED-1012</v>
      </c>
      <c r="G40" s="19" t="str">
        <f>Detalle_Pedidos!C40</f>
        <v>Agua pack 6 unidades</v>
      </c>
      <c r="H40" s="22">
        <f>Detalle_Pedidos!F40</f>
        <v>17450</v>
      </c>
      <c r="I40" s="22">
        <f>Detalle_Pedidos!D40*Detalle_Pedidos!G40</f>
        <v>12500</v>
      </c>
      <c r="J40" s="22">
        <f t="shared" si="1"/>
        <v>4950</v>
      </c>
      <c r="K40" s="23">
        <f t="shared" si="2"/>
        <v>0.2836676218</v>
      </c>
      <c r="L40" s="19" t="str">
        <f>VLOOKUP(F40,Pedidos!$A:$L,8,FALSE)</f>
        <v>Débito/Crédito</v>
      </c>
      <c r="M40" s="19" t="str">
        <f>VLOOKUP(F40,Pedidos!$A:$L,7,FALSE)</f>
        <v>Pagado</v>
      </c>
    </row>
    <row r="41" ht="15.75" customHeight="1">
      <c r="A41" s="24">
        <f>VLOOKUP(F41,Pedidos!$A:$L,2,FALSE)</f>
        <v>46147</v>
      </c>
      <c r="B41" s="19" t="str">
        <f>VLOOKUP(F41,Pedidos!$A:$L,3,FALSE)</f>
        <v>Botillería El Cruce</v>
      </c>
      <c r="C41" s="19" t="str">
        <f>VLOOKUP(F41,Pedidos!$A:$L,4,FALSE)</f>
        <v>Ñancul</v>
      </c>
      <c r="D41" s="19" t="str">
        <f>VLOOKUP(F41,Pedidos!$A:$L,5,FALSE)</f>
        <v>Rural</v>
      </c>
      <c r="E41" s="19" t="str">
        <f>VLOOKUP(F41,Pedidos!$A:$L,6,FALSE)</f>
        <v>Ruta 1</v>
      </c>
      <c r="F41" s="19" t="str">
        <f>Detalle_Pedidos!A41</f>
        <v>PED-1012</v>
      </c>
      <c r="G41" s="19" t="str">
        <f>Detalle_Pedidos!C41</f>
        <v>Leña saco pino</v>
      </c>
      <c r="H41" s="22">
        <f>Detalle_Pedidos!F41</f>
        <v>10500</v>
      </c>
      <c r="I41" s="22">
        <f>Detalle_Pedidos!D41*Detalle_Pedidos!G41</f>
        <v>7500</v>
      </c>
      <c r="J41" s="22">
        <f t="shared" si="1"/>
        <v>3000</v>
      </c>
      <c r="K41" s="23">
        <f t="shared" si="2"/>
        <v>0.2857142857</v>
      </c>
      <c r="L41" s="19" t="str">
        <f>VLOOKUP(F41,Pedidos!$A:$L,8,FALSE)</f>
        <v>Débito/Crédito</v>
      </c>
      <c r="M41" s="19" t="str">
        <f>VLOOKUP(F41,Pedidos!$A:$L,7,FALSE)</f>
        <v>Pagado</v>
      </c>
    </row>
    <row r="42" ht="15.75" customHeight="1">
      <c r="A42" s="24">
        <f>VLOOKUP(F42,Pedidos!$A:$L,2,FALSE)</f>
        <v>46147</v>
      </c>
      <c r="B42" s="19" t="str">
        <f>VLOOKUP(F42,Pedidos!$A:$L,3,FALSE)</f>
        <v>Botillería El Cruce</v>
      </c>
      <c r="C42" s="19" t="str">
        <f>VLOOKUP(F42,Pedidos!$A:$L,4,FALSE)</f>
        <v>Ñancul</v>
      </c>
      <c r="D42" s="19" t="str">
        <f>VLOOKUP(F42,Pedidos!$A:$L,5,FALSE)</f>
        <v>Rural</v>
      </c>
      <c r="E42" s="19" t="str">
        <f>VLOOKUP(F42,Pedidos!$A:$L,6,FALSE)</f>
        <v>Ruta 1</v>
      </c>
      <c r="F42" s="19" t="str">
        <f>Detalle_Pedidos!A42</f>
        <v>PED-1012</v>
      </c>
      <c r="G42" s="19" t="str">
        <f>Detalle_Pedidos!C42</f>
        <v>Bidón combustible 25 L</v>
      </c>
      <c r="H42" s="22">
        <f>Detalle_Pedidos!F42</f>
        <v>30000</v>
      </c>
      <c r="I42" s="22">
        <f>Detalle_Pedidos!D42*Detalle_Pedidos!G42</f>
        <v>22500</v>
      </c>
      <c r="J42" s="22">
        <f t="shared" si="1"/>
        <v>7500</v>
      </c>
      <c r="K42" s="23">
        <f t="shared" si="2"/>
        <v>0.25</v>
      </c>
      <c r="L42" s="19" t="str">
        <f>VLOOKUP(F42,Pedidos!$A:$L,8,FALSE)</f>
        <v>Débito/Crédito</v>
      </c>
      <c r="M42" s="19" t="str">
        <f>VLOOKUP(F42,Pedidos!$A:$L,7,FALSE)</f>
        <v>Pagado</v>
      </c>
    </row>
    <row r="43" ht="15.75" customHeight="1">
      <c r="A43" s="24">
        <f>VLOOKUP(F43,Pedidos!$A:$L,2,FALSE)</f>
        <v>46146</v>
      </c>
      <c r="B43" s="19" t="str">
        <f>VLOOKUP(F43,Pedidos!$A:$L,3,FALSE)</f>
        <v>Cabañas Vista Lago</v>
      </c>
      <c r="C43" s="19" t="str">
        <f>VLOOKUP(F43,Pedidos!$A:$L,4,FALSE)</f>
        <v>Pucón</v>
      </c>
      <c r="D43" s="19" t="str">
        <f>VLOOKUP(F43,Pedidos!$A:$L,5,FALSE)</f>
        <v>Costanera</v>
      </c>
      <c r="E43" s="19" t="str">
        <f>VLOOKUP(F43,Pedidos!$A:$L,6,FALSE)</f>
        <v>Jorge</v>
      </c>
      <c r="F43" s="19" t="str">
        <f>Detalle_Pedidos!A43</f>
        <v>PED-1013</v>
      </c>
      <c r="G43" s="19" t="str">
        <f>Detalle_Pedidos!C43</f>
        <v>Nova Toalla Papel 2 rollos</v>
      </c>
      <c r="H43" s="22">
        <f>Detalle_Pedidos!F43</f>
        <v>9950</v>
      </c>
      <c r="I43" s="22">
        <f>Detalle_Pedidos!D43*Detalle_Pedidos!G43</f>
        <v>7650</v>
      </c>
      <c r="J43" s="22">
        <f t="shared" si="1"/>
        <v>2300</v>
      </c>
      <c r="K43" s="23">
        <f t="shared" si="2"/>
        <v>0.2311557789</v>
      </c>
      <c r="L43" s="19" t="str">
        <f>VLOOKUP(F43,Pedidos!$A:$L,8,FALSE)</f>
        <v>Crédito 7 días</v>
      </c>
      <c r="M43" s="19" t="str">
        <f>VLOOKUP(F43,Pedidos!$A:$L,7,FALSE)</f>
        <v>Pagado</v>
      </c>
    </row>
    <row r="44" ht="15.75" customHeight="1">
      <c r="A44" s="24">
        <f>VLOOKUP(F44,Pedidos!$A:$L,2,FALSE)</f>
        <v>46146</v>
      </c>
      <c r="B44" s="19" t="str">
        <f>VLOOKUP(F44,Pedidos!$A:$L,3,FALSE)</f>
        <v>Cabañas Vista Lago</v>
      </c>
      <c r="C44" s="19" t="str">
        <f>VLOOKUP(F44,Pedidos!$A:$L,4,FALSE)</f>
        <v>Pucón</v>
      </c>
      <c r="D44" s="19" t="str">
        <f>VLOOKUP(F44,Pedidos!$A:$L,5,FALSE)</f>
        <v>Costanera</v>
      </c>
      <c r="E44" s="19" t="str">
        <f>VLOOKUP(F44,Pedidos!$A:$L,6,FALSE)</f>
        <v>Jorge</v>
      </c>
      <c r="F44" s="19" t="str">
        <f>Detalle_Pedidos!A44</f>
        <v>PED-1013</v>
      </c>
      <c r="G44" s="19" t="str">
        <f>Detalle_Pedidos!C44</f>
        <v>Agua 1.5 L</v>
      </c>
      <c r="H44" s="22">
        <f>Detalle_Pedidos!F44</f>
        <v>11257.5</v>
      </c>
      <c r="I44" s="22">
        <f>Detalle_Pedidos!D44*Detalle_Pedidos!G44</f>
        <v>6300</v>
      </c>
      <c r="J44" s="22">
        <f t="shared" si="1"/>
        <v>4957.5</v>
      </c>
      <c r="K44" s="23">
        <f t="shared" si="2"/>
        <v>0.4403730846</v>
      </c>
      <c r="L44" s="19" t="str">
        <f>VLOOKUP(F44,Pedidos!$A:$L,8,FALSE)</f>
        <v>Crédito 7 días</v>
      </c>
      <c r="M44" s="19" t="str">
        <f>VLOOKUP(F44,Pedidos!$A:$L,7,FALSE)</f>
        <v>Pagado</v>
      </c>
    </row>
    <row r="45" ht="15.75" customHeight="1">
      <c r="A45" s="24">
        <f>VLOOKUP(F45,Pedidos!$A:$L,2,FALSE)</f>
        <v>46146</v>
      </c>
      <c r="B45" s="19" t="str">
        <f>VLOOKUP(F45,Pedidos!$A:$L,3,FALSE)</f>
        <v>Cabañas Vista Lago</v>
      </c>
      <c r="C45" s="19" t="str">
        <f>VLOOKUP(F45,Pedidos!$A:$L,4,FALSE)</f>
        <v>Pucón</v>
      </c>
      <c r="D45" s="19" t="str">
        <f>VLOOKUP(F45,Pedidos!$A:$L,5,FALSE)</f>
        <v>Costanera</v>
      </c>
      <c r="E45" s="19" t="str">
        <f>VLOOKUP(F45,Pedidos!$A:$L,6,FALSE)</f>
        <v>Jorge</v>
      </c>
      <c r="F45" s="19" t="str">
        <f>Detalle_Pedidos!A45</f>
        <v>PED-1013</v>
      </c>
      <c r="G45" s="19" t="str">
        <f>Detalle_Pedidos!C45</f>
        <v>Lavalozas 750 ml</v>
      </c>
      <c r="H45" s="22">
        <f>Detalle_Pedidos!F45</f>
        <v>41124</v>
      </c>
      <c r="I45" s="22">
        <f>Detalle_Pedidos!D45*Detalle_Pedidos!G45</f>
        <v>28500</v>
      </c>
      <c r="J45" s="22">
        <f t="shared" si="1"/>
        <v>12624</v>
      </c>
      <c r="K45" s="23">
        <f t="shared" si="2"/>
        <v>0.3069740298</v>
      </c>
      <c r="L45" s="19" t="str">
        <f>VLOOKUP(F45,Pedidos!$A:$L,8,FALSE)</f>
        <v>Crédito 7 días</v>
      </c>
      <c r="M45" s="19" t="str">
        <f>VLOOKUP(F45,Pedidos!$A:$L,7,FALSE)</f>
        <v>Pagado</v>
      </c>
    </row>
    <row r="46" ht="15.75" customHeight="1">
      <c r="A46" s="24">
        <f>VLOOKUP(F46,Pedidos!$A:$L,2,FALSE)</f>
        <v>46146</v>
      </c>
      <c r="B46" s="19" t="str">
        <f>VLOOKUP(F46,Pedidos!$A:$L,3,FALSE)</f>
        <v>Cabañas Vista Lago</v>
      </c>
      <c r="C46" s="19" t="str">
        <f>VLOOKUP(F46,Pedidos!$A:$L,4,FALSE)</f>
        <v>Pucón</v>
      </c>
      <c r="D46" s="19" t="str">
        <f>VLOOKUP(F46,Pedidos!$A:$L,5,FALSE)</f>
        <v>Costanera</v>
      </c>
      <c r="E46" s="19" t="str">
        <f>VLOOKUP(F46,Pedidos!$A:$L,6,FALSE)</f>
        <v>Jorge</v>
      </c>
      <c r="F46" s="19" t="str">
        <f>Detalle_Pedidos!A46</f>
        <v>PED-1013</v>
      </c>
      <c r="G46" s="19" t="str">
        <f>Detalle_Pedidos!C46</f>
        <v>Papel Higiénico 4 rollos</v>
      </c>
      <c r="H46" s="22">
        <f>Detalle_Pedidos!F46</f>
        <v>28386</v>
      </c>
      <c r="I46" s="22">
        <f>Detalle_Pedidos!D46*Detalle_Pedidos!G46</f>
        <v>23640</v>
      </c>
      <c r="J46" s="22">
        <f t="shared" si="1"/>
        <v>4746</v>
      </c>
      <c r="K46" s="23">
        <f t="shared" si="2"/>
        <v>0.1671950962</v>
      </c>
      <c r="L46" s="19" t="str">
        <f>VLOOKUP(F46,Pedidos!$A:$L,8,FALSE)</f>
        <v>Crédito 7 días</v>
      </c>
      <c r="M46" s="19" t="str">
        <f>VLOOKUP(F46,Pedidos!$A:$L,7,FALSE)</f>
        <v>Pagado</v>
      </c>
    </row>
    <row r="47" ht="15.75" customHeight="1">
      <c r="A47" s="24">
        <f>VLOOKUP(F47,Pedidos!$A:$L,2,FALSE)</f>
        <v>46152</v>
      </c>
      <c r="B47" s="19" t="str">
        <f>VLOOKUP(F47,Pedidos!$A:$L,3,FALSE)</f>
        <v>Camping Los Robles</v>
      </c>
      <c r="C47" s="19" t="str">
        <f>VLOOKUP(F47,Pedidos!$A:$L,4,FALSE)</f>
        <v>Curarrehue</v>
      </c>
      <c r="D47" s="19" t="str">
        <f>VLOOKUP(F47,Pedidos!$A:$L,5,FALSE)</f>
        <v>Rural</v>
      </c>
      <c r="E47" s="19" t="str">
        <f>VLOOKUP(F47,Pedidos!$A:$L,6,FALSE)</f>
        <v>Jorge</v>
      </c>
      <c r="F47" s="19" t="str">
        <f>Detalle_Pedidos!A47</f>
        <v>PED-1014</v>
      </c>
      <c r="G47" s="19" t="str">
        <f>Detalle_Pedidos!C47</f>
        <v>Bidón combustible 25 L</v>
      </c>
      <c r="H47" s="22">
        <f>Detalle_Pedidos!F47</f>
        <v>165600</v>
      </c>
      <c r="I47" s="22">
        <f>Detalle_Pedidos!D47*Detalle_Pedidos!G47</f>
        <v>135000</v>
      </c>
      <c r="J47" s="22">
        <f t="shared" si="1"/>
        <v>30600</v>
      </c>
      <c r="K47" s="23">
        <f t="shared" si="2"/>
        <v>0.1847826087</v>
      </c>
      <c r="L47" s="19" t="str">
        <f>VLOOKUP(F47,Pedidos!$A:$L,8,FALSE)</f>
        <v>Efectivo</v>
      </c>
      <c r="M47" s="19" t="str">
        <f>VLOOKUP(F47,Pedidos!$A:$L,7,FALSE)</f>
        <v>Preparando</v>
      </c>
    </row>
    <row r="48" ht="15.75" customHeight="1">
      <c r="A48" s="24">
        <f>VLOOKUP(F48,Pedidos!$A:$L,2,FALSE)</f>
        <v>46152</v>
      </c>
      <c r="B48" s="19" t="str">
        <f>VLOOKUP(F48,Pedidos!$A:$L,3,FALSE)</f>
        <v>Camping Los Robles</v>
      </c>
      <c r="C48" s="19" t="str">
        <f>VLOOKUP(F48,Pedidos!$A:$L,4,FALSE)</f>
        <v>Curarrehue</v>
      </c>
      <c r="D48" s="19" t="str">
        <f>VLOOKUP(F48,Pedidos!$A:$L,5,FALSE)</f>
        <v>Rural</v>
      </c>
      <c r="E48" s="19" t="str">
        <f>VLOOKUP(F48,Pedidos!$A:$L,6,FALSE)</f>
        <v>Jorge</v>
      </c>
      <c r="F48" s="19" t="str">
        <f>Detalle_Pedidos!A48</f>
        <v>PED-1014</v>
      </c>
      <c r="G48" s="19" t="str">
        <f>Detalle_Pedidos!C48</f>
        <v>Lavalozas 750 ml</v>
      </c>
      <c r="H48" s="22">
        <f>Detalle_Pedidos!F48</f>
        <v>21232.5</v>
      </c>
      <c r="I48" s="22">
        <f>Detalle_Pedidos!D48*Detalle_Pedidos!G48</f>
        <v>14250</v>
      </c>
      <c r="J48" s="22">
        <f t="shared" si="1"/>
        <v>6982.5</v>
      </c>
      <c r="K48" s="23">
        <f t="shared" si="2"/>
        <v>0.3288590604</v>
      </c>
      <c r="L48" s="19" t="str">
        <f>VLOOKUP(F48,Pedidos!$A:$L,8,FALSE)</f>
        <v>Efectivo</v>
      </c>
      <c r="M48" s="19" t="str">
        <f>VLOOKUP(F48,Pedidos!$A:$L,7,FALSE)</f>
        <v>Preparando</v>
      </c>
    </row>
    <row r="49" ht="15.75" customHeight="1">
      <c r="A49" s="24">
        <f>VLOOKUP(F49,Pedidos!$A:$L,2,FALSE)</f>
        <v>46152</v>
      </c>
      <c r="B49" s="19" t="str">
        <f>VLOOKUP(F49,Pedidos!$A:$L,3,FALSE)</f>
        <v>Camping Los Robles</v>
      </c>
      <c r="C49" s="19" t="str">
        <f>VLOOKUP(F49,Pedidos!$A:$L,4,FALSE)</f>
        <v>Curarrehue</v>
      </c>
      <c r="D49" s="19" t="str">
        <f>VLOOKUP(F49,Pedidos!$A:$L,5,FALSE)</f>
        <v>Rural</v>
      </c>
      <c r="E49" s="19" t="str">
        <f>VLOOKUP(F49,Pedidos!$A:$L,6,FALSE)</f>
        <v>Jorge</v>
      </c>
      <c r="F49" s="19" t="str">
        <f>Detalle_Pedidos!A49</f>
        <v>PED-1014</v>
      </c>
      <c r="G49" s="19" t="str">
        <f>Detalle_Pedidos!C49</f>
        <v>Leña saco pino</v>
      </c>
      <c r="H49" s="22">
        <f>Detalle_Pedidos!F49</f>
        <v>49875</v>
      </c>
      <c r="I49" s="22">
        <f>Detalle_Pedidos!D49*Detalle_Pedidos!G49</f>
        <v>37500</v>
      </c>
      <c r="J49" s="22">
        <f t="shared" si="1"/>
        <v>12375</v>
      </c>
      <c r="K49" s="23">
        <f t="shared" si="2"/>
        <v>0.2481203008</v>
      </c>
      <c r="L49" s="19" t="str">
        <f>VLOOKUP(F49,Pedidos!$A:$L,8,FALSE)</f>
        <v>Efectivo</v>
      </c>
      <c r="M49" s="19" t="str">
        <f>VLOOKUP(F49,Pedidos!$A:$L,7,FALSE)</f>
        <v>Preparando</v>
      </c>
    </row>
    <row r="50" ht="15.75" customHeight="1">
      <c r="A50" s="24">
        <f>VLOOKUP(F50,Pedidos!$A:$L,2,FALSE)</f>
        <v>46149</v>
      </c>
      <c r="B50" s="19" t="str">
        <f>VLOOKUP(F50,Pedidos!$A:$L,3,FALSE)</f>
        <v>Food Truck La Ruta</v>
      </c>
      <c r="C50" s="19" t="str">
        <f>VLOOKUP(F50,Pedidos!$A:$L,4,FALSE)</f>
        <v>Lican Ray</v>
      </c>
      <c r="D50" s="19" t="str">
        <f>VLOOKUP(F50,Pedidos!$A:$L,5,FALSE)</f>
        <v>Licán Urbano</v>
      </c>
      <c r="E50" s="19" t="str">
        <f>VLOOKUP(F50,Pedidos!$A:$L,6,FALSE)</f>
        <v>Ruta 1</v>
      </c>
      <c r="F50" s="19" t="str">
        <f>Detalle_Pedidos!A50</f>
        <v>PED-1015</v>
      </c>
      <c r="G50" s="19" t="str">
        <f>Detalle_Pedidos!C50</f>
        <v>Energética Score Gorilla 735 ml</v>
      </c>
      <c r="H50" s="22">
        <f>Detalle_Pedidos!F50</f>
        <v>7740</v>
      </c>
      <c r="I50" s="22">
        <f>Detalle_Pedidos!D50*Detalle_Pedidos!G50</f>
        <v>4920</v>
      </c>
      <c r="J50" s="22">
        <f t="shared" si="1"/>
        <v>2820</v>
      </c>
      <c r="K50" s="23">
        <f t="shared" si="2"/>
        <v>0.3643410853</v>
      </c>
      <c r="L50" s="19" t="str">
        <f>VLOOKUP(F50,Pedidos!$A:$L,8,FALSE)</f>
        <v>Crédito 7 días</v>
      </c>
      <c r="M50" s="19" t="str">
        <f>VLOOKUP(F50,Pedidos!$A:$L,7,FALSE)</f>
        <v>Despachado</v>
      </c>
    </row>
    <row r="51" ht="15.75" customHeight="1">
      <c r="A51" s="24">
        <f>VLOOKUP(F51,Pedidos!$A:$L,2,FALSE)</f>
        <v>46149</v>
      </c>
      <c r="B51" s="19" t="str">
        <f>VLOOKUP(F51,Pedidos!$A:$L,3,FALSE)</f>
        <v>Food Truck La Ruta</v>
      </c>
      <c r="C51" s="19" t="str">
        <f>VLOOKUP(F51,Pedidos!$A:$L,4,FALSE)</f>
        <v>Lican Ray</v>
      </c>
      <c r="D51" s="19" t="str">
        <f>VLOOKUP(F51,Pedidos!$A:$L,5,FALSE)</f>
        <v>Licán Urbano</v>
      </c>
      <c r="E51" s="19" t="str">
        <f>VLOOKUP(F51,Pedidos!$A:$L,6,FALSE)</f>
        <v>Ruta 1</v>
      </c>
      <c r="F51" s="19" t="str">
        <f>Detalle_Pedidos!A51</f>
        <v>PED-1015</v>
      </c>
      <c r="G51" s="19" t="str">
        <f>Detalle_Pedidos!C51</f>
        <v>Papel Higiénico 12 rollos</v>
      </c>
      <c r="H51" s="22">
        <f>Detalle_Pedidos!F51</f>
        <v>132810</v>
      </c>
      <c r="I51" s="22">
        <f>Detalle_Pedidos!D51*Detalle_Pedidos!G51</f>
        <v>112000</v>
      </c>
      <c r="J51" s="22">
        <f t="shared" si="1"/>
        <v>20810</v>
      </c>
      <c r="K51" s="23">
        <f t="shared" si="2"/>
        <v>0.1566900083</v>
      </c>
      <c r="L51" s="19" t="str">
        <f>VLOOKUP(F51,Pedidos!$A:$L,8,FALSE)</f>
        <v>Crédito 7 días</v>
      </c>
      <c r="M51" s="19" t="str">
        <f>VLOOKUP(F51,Pedidos!$A:$L,7,FALSE)</f>
        <v>Despachado</v>
      </c>
    </row>
    <row r="52" ht="15.75" customHeight="1">
      <c r="A52" s="24">
        <f>VLOOKUP(F52,Pedidos!$A:$L,2,FALSE)</f>
        <v>46144</v>
      </c>
      <c r="B52" s="19" t="str">
        <f>VLOOKUP(F52,Pedidos!$A:$L,3,FALSE)</f>
        <v>Cabañas Vista Lago</v>
      </c>
      <c r="C52" s="19" t="str">
        <f>VLOOKUP(F52,Pedidos!$A:$L,4,FALSE)</f>
        <v>Pucón</v>
      </c>
      <c r="D52" s="19" t="str">
        <f>VLOOKUP(F52,Pedidos!$A:$L,5,FALSE)</f>
        <v>Costanera</v>
      </c>
      <c r="E52" s="19" t="str">
        <f>VLOOKUP(F52,Pedidos!$A:$L,6,FALSE)</f>
        <v>Ruta 2</v>
      </c>
      <c r="F52" s="19" t="str">
        <f>Detalle_Pedidos!A52</f>
        <v>PED-1016</v>
      </c>
      <c r="G52" s="19" t="str">
        <f>Detalle_Pedidos!C52</f>
        <v>Papel Higiénico 4 rollos</v>
      </c>
      <c r="H52" s="22">
        <f>Detalle_Pedidos!F52</f>
        <v>12450</v>
      </c>
      <c r="I52" s="22">
        <f>Detalle_Pedidos!D52*Detalle_Pedidos!G52</f>
        <v>9850</v>
      </c>
      <c r="J52" s="22">
        <f t="shared" si="1"/>
        <v>2600</v>
      </c>
      <c r="K52" s="23">
        <f t="shared" si="2"/>
        <v>0.2088353414</v>
      </c>
      <c r="L52" s="19" t="str">
        <f>VLOOKUP(F52,Pedidos!$A:$L,8,FALSE)</f>
        <v>Efectivo</v>
      </c>
      <c r="M52" s="19" t="str">
        <f>VLOOKUP(F52,Pedidos!$A:$L,7,FALSE)</f>
        <v>Preparando</v>
      </c>
    </row>
    <row r="53" ht="15.75" customHeight="1">
      <c r="A53" s="24">
        <f>VLOOKUP(F53,Pedidos!$A:$L,2,FALSE)</f>
        <v>46144</v>
      </c>
      <c r="B53" s="19" t="str">
        <f>VLOOKUP(F53,Pedidos!$A:$L,3,FALSE)</f>
        <v>Cabañas Vista Lago</v>
      </c>
      <c r="C53" s="19" t="str">
        <f>VLOOKUP(F53,Pedidos!$A:$L,4,FALSE)</f>
        <v>Pucón</v>
      </c>
      <c r="D53" s="19" t="str">
        <f>VLOOKUP(F53,Pedidos!$A:$L,5,FALSE)</f>
        <v>Costanera</v>
      </c>
      <c r="E53" s="19" t="str">
        <f>VLOOKUP(F53,Pedidos!$A:$L,6,FALSE)</f>
        <v>Ruta 2</v>
      </c>
      <c r="F53" s="19" t="str">
        <f>Detalle_Pedidos!A53</f>
        <v>PED-1016</v>
      </c>
      <c r="G53" s="19" t="str">
        <f>Detalle_Pedidos!C53</f>
        <v>Carbón bolsa 2.5 kg</v>
      </c>
      <c r="H53" s="22">
        <f>Detalle_Pedidos!F53</f>
        <v>43884</v>
      </c>
      <c r="I53" s="22">
        <f>Detalle_Pedidos!D53*Detalle_Pedidos!G53</f>
        <v>33900</v>
      </c>
      <c r="J53" s="22">
        <f t="shared" si="1"/>
        <v>9984</v>
      </c>
      <c r="K53" s="23">
        <f t="shared" si="2"/>
        <v>0.2275088871</v>
      </c>
      <c r="L53" s="19" t="str">
        <f>VLOOKUP(F53,Pedidos!$A:$L,8,FALSE)</f>
        <v>Efectivo</v>
      </c>
      <c r="M53" s="19" t="str">
        <f>VLOOKUP(F53,Pedidos!$A:$L,7,FALSE)</f>
        <v>Preparando</v>
      </c>
    </row>
    <row r="54" ht="15.75" customHeight="1">
      <c r="A54" s="24">
        <f>VLOOKUP(F54,Pedidos!$A:$L,2,FALSE)</f>
        <v>46148</v>
      </c>
      <c r="B54" s="19" t="str">
        <f>VLOOKUP(F54,Pedidos!$A:$L,3,FALSE)</f>
        <v>Almacén Don Pedro</v>
      </c>
      <c r="C54" s="19" t="str">
        <f>VLOOKUP(F54,Pedidos!$A:$L,4,FALSE)</f>
        <v>Villarrica</v>
      </c>
      <c r="D54" s="19" t="str">
        <f>VLOOKUP(F54,Pedidos!$A:$L,5,FALSE)</f>
        <v>Segunda Faja</v>
      </c>
      <c r="E54" s="19" t="str">
        <f>VLOOKUP(F54,Pedidos!$A:$L,6,FALSE)</f>
        <v>Jorge</v>
      </c>
      <c r="F54" s="19" t="str">
        <f>Detalle_Pedidos!A54</f>
        <v>PED-1017</v>
      </c>
      <c r="G54" s="19" t="str">
        <f>Detalle_Pedidos!C54</f>
        <v>Huevos Primera bandeja 30 un</v>
      </c>
      <c r="H54" s="22">
        <f>Detalle_Pedidos!F54</f>
        <v>85500</v>
      </c>
      <c r="I54" s="22">
        <f>Detalle_Pedidos!D54*Detalle_Pedidos!G54</f>
        <v>75600</v>
      </c>
      <c r="J54" s="22">
        <f t="shared" si="1"/>
        <v>9900</v>
      </c>
      <c r="K54" s="23">
        <f t="shared" si="2"/>
        <v>0.1157894737</v>
      </c>
      <c r="L54" s="19" t="str">
        <f>VLOOKUP(F54,Pedidos!$A:$L,8,FALSE)</f>
        <v>Transferencia</v>
      </c>
      <c r="M54" s="19" t="str">
        <f>VLOOKUP(F54,Pedidos!$A:$L,7,FALSE)</f>
        <v>Despachado</v>
      </c>
    </row>
    <row r="55" ht="15.75" customHeight="1">
      <c r="A55" s="24">
        <f>VLOOKUP(F55,Pedidos!$A:$L,2,FALSE)</f>
        <v>46148</v>
      </c>
      <c r="B55" s="19" t="str">
        <f>VLOOKUP(F55,Pedidos!$A:$L,3,FALSE)</f>
        <v>Almacén Don Pedro</v>
      </c>
      <c r="C55" s="19" t="str">
        <f>VLOOKUP(F55,Pedidos!$A:$L,4,FALSE)</f>
        <v>Villarrica</v>
      </c>
      <c r="D55" s="19" t="str">
        <f>VLOOKUP(F55,Pedidos!$A:$L,5,FALSE)</f>
        <v>Segunda Faja</v>
      </c>
      <c r="E55" s="19" t="str">
        <f>VLOOKUP(F55,Pedidos!$A:$L,6,FALSE)</f>
        <v>Jorge</v>
      </c>
      <c r="F55" s="19" t="str">
        <f>Detalle_Pedidos!A55</f>
        <v>PED-1017</v>
      </c>
      <c r="G55" s="19" t="str">
        <f>Detalle_Pedidos!C55</f>
        <v>Nova Toalla Papel 2 rollos</v>
      </c>
      <c r="H55" s="22">
        <f>Detalle_Pedidos!F55</f>
        <v>87560</v>
      </c>
      <c r="I55" s="22">
        <f>Detalle_Pedidos!D55*Detalle_Pedidos!G55</f>
        <v>76500</v>
      </c>
      <c r="J55" s="22">
        <f t="shared" si="1"/>
        <v>11060</v>
      </c>
      <c r="K55" s="23">
        <f t="shared" si="2"/>
        <v>0.1263133851</v>
      </c>
      <c r="L55" s="19" t="str">
        <f>VLOOKUP(F55,Pedidos!$A:$L,8,FALSE)</f>
        <v>Transferencia</v>
      </c>
      <c r="M55" s="19" t="str">
        <f>VLOOKUP(F55,Pedidos!$A:$L,7,FALSE)</f>
        <v>Despachado</v>
      </c>
    </row>
    <row r="56" ht="15.75" customHeight="1">
      <c r="A56" s="24">
        <f>VLOOKUP(F56,Pedidos!$A:$L,2,FALSE)</f>
        <v>46148</v>
      </c>
      <c r="B56" s="19" t="str">
        <f>VLOOKUP(F56,Pedidos!$A:$L,3,FALSE)</f>
        <v>Almacén Don Pedro</v>
      </c>
      <c r="C56" s="19" t="str">
        <f>VLOOKUP(F56,Pedidos!$A:$L,4,FALSE)</f>
        <v>Villarrica</v>
      </c>
      <c r="D56" s="19" t="str">
        <f>VLOOKUP(F56,Pedidos!$A:$L,5,FALSE)</f>
        <v>Segunda Faja</v>
      </c>
      <c r="E56" s="19" t="str">
        <f>VLOOKUP(F56,Pedidos!$A:$L,6,FALSE)</f>
        <v>Jorge</v>
      </c>
      <c r="F56" s="19" t="str">
        <f>Detalle_Pedidos!A56</f>
        <v>PED-1017</v>
      </c>
      <c r="G56" s="19" t="str">
        <f>Detalle_Pedidos!C56</f>
        <v>Leña saco pino</v>
      </c>
      <c r="H56" s="22">
        <f>Detalle_Pedidos!F56</f>
        <v>39900</v>
      </c>
      <c r="I56" s="22">
        <f>Detalle_Pedidos!D56*Detalle_Pedidos!G56</f>
        <v>30000</v>
      </c>
      <c r="J56" s="22">
        <f t="shared" si="1"/>
        <v>9900</v>
      </c>
      <c r="K56" s="23">
        <f t="shared" si="2"/>
        <v>0.2481203008</v>
      </c>
      <c r="L56" s="19" t="str">
        <f>VLOOKUP(F56,Pedidos!$A:$L,8,FALSE)</f>
        <v>Transferencia</v>
      </c>
      <c r="M56" s="19" t="str">
        <f>VLOOKUP(F56,Pedidos!$A:$L,7,FALSE)</f>
        <v>Despachado</v>
      </c>
    </row>
    <row r="57" ht="15.75" customHeight="1">
      <c r="A57" s="24">
        <f>VLOOKUP(F57,Pedidos!$A:$L,2,FALSE)</f>
        <v>46148</v>
      </c>
      <c r="B57" s="19" t="str">
        <f>VLOOKUP(F57,Pedidos!$A:$L,3,FALSE)</f>
        <v>Almacén Don Pedro</v>
      </c>
      <c r="C57" s="19" t="str">
        <f>VLOOKUP(F57,Pedidos!$A:$L,4,FALSE)</f>
        <v>Villarrica</v>
      </c>
      <c r="D57" s="19" t="str">
        <f>VLOOKUP(F57,Pedidos!$A:$L,5,FALSE)</f>
        <v>Segunda Faja</v>
      </c>
      <c r="E57" s="19" t="str">
        <f>VLOOKUP(F57,Pedidos!$A:$L,6,FALSE)</f>
        <v>Jorge</v>
      </c>
      <c r="F57" s="19" t="str">
        <f>Detalle_Pedidos!A57</f>
        <v>PED-1017</v>
      </c>
      <c r="G57" s="19" t="str">
        <f>Detalle_Pedidos!C57</f>
        <v>Agua 1.5 L</v>
      </c>
      <c r="H57" s="22">
        <f>Detalle_Pedidos!F57</f>
        <v>15010</v>
      </c>
      <c r="I57" s="22">
        <f>Detalle_Pedidos!D57*Detalle_Pedidos!G57</f>
        <v>8400</v>
      </c>
      <c r="J57" s="22">
        <f t="shared" si="1"/>
        <v>6610</v>
      </c>
      <c r="K57" s="23">
        <f t="shared" si="2"/>
        <v>0.4403730846</v>
      </c>
      <c r="L57" s="19" t="str">
        <f>VLOOKUP(F57,Pedidos!$A:$L,8,FALSE)</f>
        <v>Transferencia</v>
      </c>
      <c r="M57" s="19" t="str">
        <f>VLOOKUP(F57,Pedidos!$A:$L,7,FALSE)</f>
        <v>Despachado</v>
      </c>
    </row>
    <row r="58" ht="15.75" customHeight="1">
      <c r="A58" s="24">
        <f>VLOOKUP(F58,Pedidos!$A:$L,2,FALSE)</f>
        <v>46144</v>
      </c>
      <c r="B58" s="19" t="str">
        <f>VLOOKUP(F58,Pedidos!$A:$L,3,FALSE)</f>
        <v>Almacén Don Pedro</v>
      </c>
      <c r="C58" s="19" t="str">
        <f>VLOOKUP(F58,Pedidos!$A:$L,4,FALSE)</f>
        <v>Villarrica</v>
      </c>
      <c r="D58" s="19" t="str">
        <f>VLOOKUP(F58,Pedidos!$A:$L,5,FALSE)</f>
        <v>Segunda Faja</v>
      </c>
      <c r="E58" s="19" t="str">
        <f>VLOOKUP(F58,Pedidos!$A:$L,6,FALSE)</f>
        <v>Ruta 1</v>
      </c>
      <c r="F58" s="19" t="str">
        <f>Detalle_Pedidos!A58</f>
        <v>PED-1018</v>
      </c>
      <c r="G58" s="19" t="str">
        <f>Detalle_Pedidos!C58</f>
        <v>Agua 1.5 L</v>
      </c>
      <c r="H58" s="22">
        <f>Detalle_Pedidos!F58</f>
        <v>2370</v>
      </c>
      <c r="I58" s="22">
        <f>Detalle_Pedidos!D58*Detalle_Pedidos!G58</f>
        <v>1260</v>
      </c>
      <c r="J58" s="22">
        <f t="shared" si="1"/>
        <v>1110</v>
      </c>
      <c r="K58" s="23">
        <f t="shared" si="2"/>
        <v>0.4683544304</v>
      </c>
      <c r="L58" s="19" t="str">
        <f>VLOOKUP(F58,Pedidos!$A:$L,8,FALSE)</f>
        <v>Crédito 7 días</v>
      </c>
      <c r="M58" s="19" t="str">
        <f>VLOOKUP(F58,Pedidos!$A:$L,7,FALSE)</f>
        <v>Pendiente</v>
      </c>
    </row>
    <row r="59" ht="15.75" customHeight="1">
      <c r="A59" s="24">
        <f>VLOOKUP(F59,Pedidos!$A:$L,2,FALSE)</f>
        <v>46144</v>
      </c>
      <c r="B59" s="19" t="str">
        <f>VLOOKUP(F59,Pedidos!$A:$L,3,FALSE)</f>
        <v>Almacén Don Pedro</v>
      </c>
      <c r="C59" s="19" t="str">
        <f>VLOOKUP(F59,Pedidos!$A:$L,4,FALSE)</f>
        <v>Villarrica</v>
      </c>
      <c r="D59" s="19" t="str">
        <f>VLOOKUP(F59,Pedidos!$A:$L,5,FALSE)</f>
        <v>Segunda Faja</v>
      </c>
      <c r="E59" s="19" t="str">
        <f>VLOOKUP(F59,Pedidos!$A:$L,6,FALSE)</f>
        <v>Ruta 1</v>
      </c>
      <c r="F59" s="19" t="str">
        <f>Detalle_Pedidos!A59</f>
        <v>PED-1018</v>
      </c>
      <c r="G59" s="19" t="str">
        <f>Detalle_Pedidos!C59</f>
        <v>Papel Higiénico 12 rollos</v>
      </c>
      <c r="H59" s="22">
        <f>Detalle_Pedidos!F59</f>
        <v>79686</v>
      </c>
      <c r="I59" s="22">
        <f>Detalle_Pedidos!D59*Detalle_Pedidos!G59</f>
        <v>67200</v>
      </c>
      <c r="J59" s="22">
        <f t="shared" si="1"/>
        <v>12486</v>
      </c>
      <c r="K59" s="23">
        <f t="shared" si="2"/>
        <v>0.1566900083</v>
      </c>
      <c r="L59" s="19" t="str">
        <f>VLOOKUP(F59,Pedidos!$A:$L,8,FALSE)</f>
        <v>Crédito 7 días</v>
      </c>
      <c r="M59" s="19" t="str">
        <f>VLOOKUP(F59,Pedidos!$A:$L,7,FALSE)</f>
        <v>Pendiente</v>
      </c>
    </row>
    <row r="60" ht="15.75" customHeight="1">
      <c r="A60" s="24">
        <f>VLOOKUP(F60,Pedidos!$A:$L,2,FALSE)</f>
        <v>46144</v>
      </c>
      <c r="B60" s="19" t="str">
        <f>VLOOKUP(F60,Pedidos!$A:$L,3,FALSE)</f>
        <v>Almacén Don Pedro</v>
      </c>
      <c r="C60" s="19" t="str">
        <f>VLOOKUP(F60,Pedidos!$A:$L,4,FALSE)</f>
        <v>Villarrica</v>
      </c>
      <c r="D60" s="19" t="str">
        <f>VLOOKUP(F60,Pedidos!$A:$L,5,FALSE)</f>
        <v>Segunda Faja</v>
      </c>
      <c r="E60" s="19" t="str">
        <f>VLOOKUP(F60,Pedidos!$A:$L,6,FALSE)</f>
        <v>Ruta 1</v>
      </c>
      <c r="F60" s="19" t="str">
        <f>Detalle_Pedidos!A60</f>
        <v>PED-1018</v>
      </c>
      <c r="G60" s="19" t="str">
        <f>Detalle_Pedidos!C60</f>
        <v>Nova Toalla Papel 2 rollos</v>
      </c>
      <c r="H60" s="22">
        <f>Detalle_Pedidos!F60</f>
        <v>18905</v>
      </c>
      <c r="I60" s="22">
        <f>Detalle_Pedidos!D60*Detalle_Pedidos!G60</f>
        <v>15300</v>
      </c>
      <c r="J60" s="22">
        <f t="shared" si="1"/>
        <v>3605</v>
      </c>
      <c r="K60" s="23">
        <f t="shared" si="2"/>
        <v>0.1906902936</v>
      </c>
      <c r="L60" s="19" t="str">
        <f>VLOOKUP(F60,Pedidos!$A:$L,8,FALSE)</f>
        <v>Crédito 7 días</v>
      </c>
      <c r="M60" s="19" t="str">
        <f>VLOOKUP(F60,Pedidos!$A:$L,7,FALSE)</f>
        <v>Pendiente</v>
      </c>
    </row>
    <row r="61" ht="15.75" customHeight="1">
      <c r="A61" s="24">
        <f>VLOOKUP(F61,Pedidos!$A:$L,2,FALSE)</f>
        <v>46154</v>
      </c>
      <c r="B61" s="19" t="str">
        <f>VLOOKUP(F61,Pedidos!$A:$L,3,FALSE)</f>
        <v>Café Araucanía</v>
      </c>
      <c r="C61" s="19" t="str">
        <f>VLOOKUP(F61,Pedidos!$A:$L,4,FALSE)</f>
        <v>Pucón</v>
      </c>
      <c r="D61" s="19" t="str">
        <f>VLOOKUP(F61,Pedidos!$A:$L,5,FALSE)</f>
        <v>Camino Internacional</v>
      </c>
      <c r="E61" s="19" t="str">
        <f>VLOOKUP(F61,Pedidos!$A:$L,6,FALSE)</f>
        <v>Ruta 2</v>
      </c>
      <c r="F61" s="19" t="str">
        <f>Detalle_Pedidos!A61</f>
        <v>PED-1019</v>
      </c>
      <c r="G61" s="19" t="str">
        <f>Detalle_Pedidos!C61</f>
        <v>Café sobre caja 20 un</v>
      </c>
      <c r="H61" s="22">
        <f>Detalle_Pedidos!F61</f>
        <v>29950</v>
      </c>
      <c r="I61" s="22">
        <f>Detalle_Pedidos!D61*Detalle_Pedidos!G61</f>
        <v>21750</v>
      </c>
      <c r="J61" s="22">
        <f t="shared" si="1"/>
        <v>8200</v>
      </c>
      <c r="K61" s="23">
        <f t="shared" si="2"/>
        <v>0.2737896494</v>
      </c>
      <c r="L61" s="19" t="str">
        <f>VLOOKUP(F61,Pedidos!$A:$L,8,FALSE)</f>
        <v>Efectivo</v>
      </c>
      <c r="M61" s="19" t="str">
        <f>VLOOKUP(F61,Pedidos!$A:$L,7,FALSE)</f>
        <v>Pagado</v>
      </c>
    </row>
    <row r="62" ht="15.75" customHeight="1">
      <c r="A62" s="24">
        <f>VLOOKUP(F62,Pedidos!$A:$L,2,FALSE)</f>
        <v>46154</v>
      </c>
      <c r="B62" s="19" t="str">
        <f>VLOOKUP(F62,Pedidos!$A:$L,3,FALSE)</f>
        <v>Café Araucanía</v>
      </c>
      <c r="C62" s="19" t="str">
        <f>VLOOKUP(F62,Pedidos!$A:$L,4,FALSE)</f>
        <v>Pucón</v>
      </c>
      <c r="D62" s="19" t="str">
        <f>VLOOKUP(F62,Pedidos!$A:$L,5,FALSE)</f>
        <v>Camino Internacional</v>
      </c>
      <c r="E62" s="19" t="str">
        <f>VLOOKUP(F62,Pedidos!$A:$L,6,FALSE)</f>
        <v>Ruta 2</v>
      </c>
      <c r="F62" s="19" t="str">
        <f>Detalle_Pedidos!A62</f>
        <v>PED-1019</v>
      </c>
      <c r="G62" s="19" t="str">
        <f>Detalle_Pedidos!C62</f>
        <v>Agua pack 6 unidades</v>
      </c>
      <c r="H62" s="22">
        <f>Detalle_Pedidos!F62</f>
        <v>96324</v>
      </c>
      <c r="I62" s="22">
        <f>Detalle_Pedidos!D62*Detalle_Pedidos!G62</f>
        <v>75000</v>
      </c>
      <c r="J62" s="22">
        <f t="shared" si="1"/>
        <v>21324</v>
      </c>
      <c r="K62" s="23">
        <f t="shared" si="2"/>
        <v>0.2213778498</v>
      </c>
      <c r="L62" s="19" t="str">
        <f>VLOOKUP(F62,Pedidos!$A:$L,8,FALSE)</f>
        <v>Efectivo</v>
      </c>
      <c r="M62" s="19" t="str">
        <f>VLOOKUP(F62,Pedidos!$A:$L,7,FALSE)</f>
        <v>Pagado</v>
      </c>
    </row>
    <row r="63" ht="15.75" customHeight="1">
      <c r="A63" s="24">
        <f>VLOOKUP(F63,Pedidos!$A:$L,2,FALSE)</f>
        <v>46155</v>
      </c>
      <c r="B63" s="19" t="str">
        <f>VLOOKUP(F63,Pedidos!$A:$L,3,FALSE)</f>
        <v>Minimarket Los Pinos</v>
      </c>
      <c r="C63" s="19" t="str">
        <f>VLOOKUP(F63,Pedidos!$A:$L,4,FALSE)</f>
        <v>Villarrica</v>
      </c>
      <c r="D63" s="19" t="str">
        <f>VLOOKUP(F63,Pedidos!$A:$L,5,FALSE)</f>
        <v>Centro</v>
      </c>
      <c r="E63" s="19" t="str">
        <f>VLOOKUP(F63,Pedidos!$A:$L,6,FALSE)</f>
        <v>Ruta 2</v>
      </c>
      <c r="F63" s="19" t="str">
        <f>Detalle_Pedidos!A63</f>
        <v>PED-1020</v>
      </c>
      <c r="G63" s="19" t="str">
        <f>Detalle_Pedidos!C63</f>
        <v>Bidón combustible 25 L</v>
      </c>
      <c r="H63" s="22">
        <f>Detalle_Pedidos!F63</f>
        <v>30000</v>
      </c>
      <c r="I63" s="22">
        <f>Detalle_Pedidos!D63*Detalle_Pedidos!G63</f>
        <v>22500</v>
      </c>
      <c r="J63" s="22">
        <f t="shared" si="1"/>
        <v>7500</v>
      </c>
      <c r="K63" s="23">
        <f t="shared" si="2"/>
        <v>0.25</v>
      </c>
      <c r="L63" s="19" t="str">
        <f>VLOOKUP(F63,Pedidos!$A:$L,8,FALSE)</f>
        <v>Efectivo</v>
      </c>
      <c r="M63" s="19" t="str">
        <f>VLOOKUP(F63,Pedidos!$A:$L,7,FALSE)</f>
        <v>Preparando</v>
      </c>
    </row>
    <row r="64" ht="15.75" customHeight="1">
      <c r="A64" s="24">
        <f>VLOOKUP(F64,Pedidos!$A:$L,2,FALSE)</f>
        <v>46155</v>
      </c>
      <c r="B64" s="19" t="str">
        <f>VLOOKUP(F64,Pedidos!$A:$L,3,FALSE)</f>
        <v>Minimarket Los Pinos</v>
      </c>
      <c r="C64" s="19" t="str">
        <f>VLOOKUP(F64,Pedidos!$A:$L,4,FALSE)</f>
        <v>Villarrica</v>
      </c>
      <c r="D64" s="19" t="str">
        <f>VLOOKUP(F64,Pedidos!$A:$L,5,FALSE)</f>
        <v>Centro</v>
      </c>
      <c r="E64" s="19" t="str">
        <f>VLOOKUP(F64,Pedidos!$A:$L,6,FALSE)</f>
        <v>Ruta 2</v>
      </c>
      <c r="F64" s="19" t="str">
        <f>Detalle_Pedidos!A64</f>
        <v>PED-1020</v>
      </c>
      <c r="G64" s="19" t="str">
        <f>Detalle_Pedidos!C64</f>
        <v>Agua 1.5 L</v>
      </c>
      <c r="H64" s="22">
        <f>Detalle_Pedidos!F64</f>
        <v>9006</v>
      </c>
      <c r="I64" s="22">
        <f>Detalle_Pedidos!D64*Detalle_Pedidos!G64</f>
        <v>5040</v>
      </c>
      <c r="J64" s="22">
        <f t="shared" si="1"/>
        <v>3966</v>
      </c>
      <c r="K64" s="23">
        <f t="shared" si="2"/>
        <v>0.4403730846</v>
      </c>
      <c r="L64" s="19" t="str">
        <f>VLOOKUP(F64,Pedidos!$A:$L,8,FALSE)</f>
        <v>Efectivo</v>
      </c>
      <c r="M64" s="19" t="str">
        <f>VLOOKUP(F64,Pedidos!$A:$L,7,FALSE)</f>
        <v>Preparando</v>
      </c>
    </row>
    <row r="65" ht="15.75" customHeight="1">
      <c r="A65" s="24">
        <f>VLOOKUP(F65,Pedidos!$A:$L,2,FALSE)</f>
        <v>46155</v>
      </c>
      <c r="B65" s="19" t="str">
        <f>VLOOKUP(F65,Pedidos!$A:$L,3,FALSE)</f>
        <v>Minimarket Los Pinos</v>
      </c>
      <c r="C65" s="19" t="str">
        <f>VLOOKUP(F65,Pedidos!$A:$L,4,FALSE)</f>
        <v>Villarrica</v>
      </c>
      <c r="D65" s="19" t="str">
        <f>VLOOKUP(F65,Pedidos!$A:$L,5,FALSE)</f>
        <v>Centro</v>
      </c>
      <c r="E65" s="19" t="str">
        <f>VLOOKUP(F65,Pedidos!$A:$L,6,FALSE)</f>
        <v>Ruta 2</v>
      </c>
      <c r="F65" s="19" t="str">
        <f>Detalle_Pedidos!A65</f>
        <v>PED-1020</v>
      </c>
      <c r="G65" s="19" t="str">
        <f>Detalle_Pedidos!C65</f>
        <v>Café sobre caja 20 un</v>
      </c>
      <c r="H65" s="22">
        <f>Detalle_Pedidos!F65</f>
        <v>35940</v>
      </c>
      <c r="I65" s="22">
        <f>Detalle_Pedidos!D65*Detalle_Pedidos!G65</f>
        <v>26100</v>
      </c>
      <c r="J65" s="22">
        <f t="shared" si="1"/>
        <v>9840</v>
      </c>
      <c r="K65" s="23">
        <f t="shared" si="2"/>
        <v>0.2737896494</v>
      </c>
      <c r="L65" s="19" t="str">
        <f>VLOOKUP(F65,Pedidos!$A:$L,8,FALSE)</f>
        <v>Efectivo</v>
      </c>
      <c r="M65" s="19" t="str">
        <f>VLOOKUP(F65,Pedidos!$A:$L,7,FALSE)</f>
        <v>Preparando</v>
      </c>
    </row>
    <row r="66" ht="15.75" customHeight="1">
      <c r="A66" s="24">
        <f>VLOOKUP(F66,Pedidos!$A:$L,2,FALSE)</f>
        <v>46155</v>
      </c>
      <c r="B66" s="19" t="str">
        <f>VLOOKUP(F66,Pedidos!$A:$L,3,FALSE)</f>
        <v>Minimarket Los Pinos</v>
      </c>
      <c r="C66" s="19" t="str">
        <f>VLOOKUP(F66,Pedidos!$A:$L,4,FALSE)</f>
        <v>Villarrica</v>
      </c>
      <c r="D66" s="19" t="str">
        <f>VLOOKUP(F66,Pedidos!$A:$L,5,FALSE)</f>
        <v>Centro</v>
      </c>
      <c r="E66" s="19" t="str">
        <f>VLOOKUP(F66,Pedidos!$A:$L,6,FALSE)</f>
        <v>Ruta 2</v>
      </c>
      <c r="F66" s="19" t="str">
        <f>Detalle_Pedidos!A66</f>
        <v>PED-1020</v>
      </c>
      <c r="G66" s="19" t="str">
        <f>Detalle_Pedidos!C66</f>
        <v>Agua pack 6 unidades</v>
      </c>
      <c r="H66" s="22">
        <f>Detalle_Pedidos!F66</f>
        <v>96324</v>
      </c>
      <c r="I66" s="22">
        <f>Detalle_Pedidos!D66*Detalle_Pedidos!G66</f>
        <v>75000</v>
      </c>
      <c r="J66" s="22">
        <f t="shared" si="1"/>
        <v>21324</v>
      </c>
      <c r="K66" s="23">
        <f t="shared" si="2"/>
        <v>0.2213778498</v>
      </c>
      <c r="L66" s="19" t="str">
        <f>VLOOKUP(F66,Pedidos!$A:$L,8,FALSE)</f>
        <v>Efectivo</v>
      </c>
      <c r="M66" s="19" t="str">
        <f>VLOOKUP(F66,Pedidos!$A:$L,7,FALSE)</f>
        <v>Preparando</v>
      </c>
    </row>
    <row r="67" ht="15.75" customHeight="1">
      <c r="A67" s="24">
        <f>VLOOKUP(F67,Pedidos!$A:$L,2,FALSE)</f>
        <v>46155</v>
      </c>
      <c r="B67" s="19" t="str">
        <f>VLOOKUP(F67,Pedidos!$A:$L,3,FALSE)</f>
        <v>Botillería El Cruce</v>
      </c>
      <c r="C67" s="19" t="str">
        <f>VLOOKUP(F67,Pedidos!$A:$L,4,FALSE)</f>
        <v>Ñancul</v>
      </c>
      <c r="D67" s="19" t="str">
        <f>VLOOKUP(F67,Pedidos!$A:$L,5,FALSE)</f>
        <v>Rural</v>
      </c>
      <c r="E67" s="19" t="str">
        <f>VLOOKUP(F67,Pedidos!$A:$L,6,FALSE)</f>
        <v>Ruta 2</v>
      </c>
      <c r="F67" s="19" t="str">
        <f>Detalle_Pedidos!A67</f>
        <v>PED-1021</v>
      </c>
      <c r="G67" s="19" t="str">
        <f>Detalle_Pedidos!C67</f>
        <v>Lavalozas 750 ml</v>
      </c>
      <c r="H67" s="22">
        <f>Detalle_Pedidos!F67</f>
        <v>21232.5</v>
      </c>
      <c r="I67" s="22">
        <f>Detalle_Pedidos!D67*Detalle_Pedidos!G67</f>
        <v>14250</v>
      </c>
      <c r="J67" s="22">
        <f t="shared" si="1"/>
        <v>6982.5</v>
      </c>
      <c r="K67" s="23">
        <f t="shared" si="2"/>
        <v>0.3288590604</v>
      </c>
      <c r="L67" s="19" t="str">
        <f>VLOOKUP(F67,Pedidos!$A:$L,8,FALSE)</f>
        <v>Transferencia</v>
      </c>
      <c r="M67" s="19" t="str">
        <f>VLOOKUP(F67,Pedidos!$A:$L,7,FALSE)</f>
        <v>Preparando</v>
      </c>
    </row>
    <row r="68" ht="15.75" customHeight="1">
      <c r="A68" s="24">
        <f>VLOOKUP(F68,Pedidos!$A:$L,2,FALSE)</f>
        <v>46155</v>
      </c>
      <c r="B68" s="19" t="str">
        <f>VLOOKUP(F68,Pedidos!$A:$L,3,FALSE)</f>
        <v>Botillería El Cruce</v>
      </c>
      <c r="C68" s="19" t="str">
        <f>VLOOKUP(F68,Pedidos!$A:$L,4,FALSE)</f>
        <v>Ñancul</v>
      </c>
      <c r="D68" s="19" t="str">
        <f>VLOOKUP(F68,Pedidos!$A:$L,5,FALSE)</f>
        <v>Rural</v>
      </c>
      <c r="E68" s="19" t="str">
        <f>VLOOKUP(F68,Pedidos!$A:$L,6,FALSE)</f>
        <v>Ruta 2</v>
      </c>
      <c r="F68" s="19" t="str">
        <f>Detalle_Pedidos!A68</f>
        <v>PED-1021</v>
      </c>
      <c r="G68" s="19" t="str">
        <f>Detalle_Pedidos!C68</f>
        <v>Bidón combustible 25 L</v>
      </c>
      <c r="H68" s="22">
        <f>Detalle_Pedidos!F68</f>
        <v>36000</v>
      </c>
      <c r="I68" s="22">
        <f>Detalle_Pedidos!D68*Detalle_Pedidos!G68</f>
        <v>27000</v>
      </c>
      <c r="J68" s="22">
        <f t="shared" si="1"/>
        <v>9000</v>
      </c>
      <c r="K68" s="23">
        <f t="shared" si="2"/>
        <v>0.25</v>
      </c>
      <c r="L68" s="19" t="str">
        <f>VLOOKUP(F68,Pedidos!$A:$L,8,FALSE)</f>
        <v>Transferencia</v>
      </c>
      <c r="M68" s="19" t="str">
        <f>VLOOKUP(F68,Pedidos!$A:$L,7,FALSE)</f>
        <v>Preparando</v>
      </c>
    </row>
    <row r="69" ht="15.75" customHeight="1">
      <c r="A69" s="24">
        <f>VLOOKUP(F69,Pedidos!$A:$L,2,FALSE)</f>
        <v>46155</v>
      </c>
      <c r="B69" s="19" t="str">
        <f>VLOOKUP(F69,Pedidos!$A:$L,3,FALSE)</f>
        <v>Botillería El Cruce</v>
      </c>
      <c r="C69" s="19" t="str">
        <f>VLOOKUP(F69,Pedidos!$A:$L,4,FALSE)</f>
        <v>Ñancul</v>
      </c>
      <c r="D69" s="19" t="str">
        <f>VLOOKUP(F69,Pedidos!$A:$L,5,FALSE)</f>
        <v>Rural</v>
      </c>
      <c r="E69" s="19" t="str">
        <f>VLOOKUP(F69,Pedidos!$A:$L,6,FALSE)</f>
        <v>Ruta 2</v>
      </c>
      <c r="F69" s="19" t="str">
        <f>Detalle_Pedidos!A69</f>
        <v>PED-1021</v>
      </c>
      <c r="G69" s="19" t="str">
        <f>Detalle_Pedidos!C69</f>
        <v>Energética Score Gorilla 735 ml</v>
      </c>
      <c r="H69" s="22">
        <f>Detalle_Pedidos!F69</f>
        <v>7740</v>
      </c>
      <c r="I69" s="22">
        <f>Detalle_Pedidos!D69*Detalle_Pedidos!G69</f>
        <v>4920</v>
      </c>
      <c r="J69" s="22">
        <f t="shared" si="1"/>
        <v>2820</v>
      </c>
      <c r="K69" s="23">
        <f t="shared" si="2"/>
        <v>0.3643410853</v>
      </c>
      <c r="L69" s="19" t="str">
        <f>VLOOKUP(F69,Pedidos!$A:$L,8,FALSE)</f>
        <v>Transferencia</v>
      </c>
      <c r="M69" s="19" t="str">
        <f>VLOOKUP(F69,Pedidos!$A:$L,7,FALSE)</f>
        <v>Preparando</v>
      </c>
    </row>
    <row r="70" ht="15.75" customHeight="1">
      <c r="A70" s="24">
        <f>VLOOKUP(F70,Pedidos!$A:$L,2,FALSE)</f>
        <v>46155</v>
      </c>
      <c r="B70" s="19" t="str">
        <f>VLOOKUP(F70,Pedidos!$A:$L,3,FALSE)</f>
        <v>Botillería El Cruce</v>
      </c>
      <c r="C70" s="19" t="str">
        <f>VLOOKUP(F70,Pedidos!$A:$L,4,FALSE)</f>
        <v>Ñancul</v>
      </c>
      <c r="D70" s="19" t="str">
        <f>VLOOKUP(F70,Pedidos!$A:$L,5,FALSE)</f>
        <v>Rural</v>
      </c>
      <c r="E70" s="19" t="str">
        <f>VLOOKUP(F70,Pedidos!$A:$L,6,FALSE)</f>
        <v>Ruta 2</v>
      </c>
      <c r="F70" s="19" t="str">
        <f>Detalle_Pedidos!A70</f>
        <v>PED-1021</v>
      </c>
      <c r="G70" s="19" t="str">
        <f>Detalle_Pedidos!C70</f>
        <v>Pellet saco 15 kg</v>
      </c>
      <c r="H70" s="22">
        <f>Detalle_Pedidos!F70</f>
        <v>104880</v>
      </c>
      <c r="I70" s="22">
        <f>Detalle_Pedidos!D70*Detalle_Pedidos!G70</f>
        <v>85800</v>
      </c>
      <c r="J70" s="22">
        <f t="shared" si="1"/>
        <v>19080</v>
      </c>
      <c r="K70" s="23">
        <f t="shared" si="2"/>
        <v>0.1819221968</v>
      </c>
      <c r="L70" s="19" t="str">
        <f>VLOOKUP(F70,Pedidos!$A:$L,8,FALSE)</f>
        <v>Transferencia</v>
      </c>
      <c r="M70" s="19" t="str">
        <f>VLOOKUP(F70,Pedidos!$A:$L,7,FALSE)</f>
        <v>Preparando</v>
      </c>
    </row>
    <row r="71" ht="15.75" customHeight="1">
      <c r="A71" s="24">
        <f>VLOOKUP(F71,Pedidos!$A:$L,2,FALSE)</f>
        <v>46148</v>
      </c>
      <c r="B71" s="19" t="str">
        <f>VLOOKUP(F71,Pedidos!$A:$L,3,FALSE)</f>
        <v>Café Araucanía</v>
      </c>
      <c r="C71" s="19" t="str">
        <f>VLOOKUP(F71,Pedidos!$A:$L,4,FALSE)</f>
        <v>Pucón</v>
      </c>
      <c r="D71" s="19" t="str">
        <f>VLOOKUP(F71,Pedidos!$A:$L,5,FALSE)</f>
        <v>Camino Internacional</v>
      </c>
      <c r="E71" s="19" t="str">
        <f>VLOOKUP(F71,Pedidos!$A:$L,6,FALSE)</f>
        <v>Jorge</v>
      </c>
      <c r="F71" s="19" t="str">
        <f>Detalle_Pedidos!A71</f>
        <v>PED-1022</v>
      </c>
      <c r="G71" s="19" t="str">
        <f>Detalle_Pedidos!C71</f>
        <v>Agua 1.5 L</v>
      </c>
      <c r="H71" s="22">
        <f>Detalle_Pedidos!F71</f>
        <v>34760</v>
      </c>
      <c r="I71" s="22">
        <f>Detalle_Pedidos!D71*Detalle_Pedidos!G71</f>
        <v>21000</v>
      </c>
      <c r="J71" s="22">
        <f t="shared" si="1"/>
        <v>13760</v>
      </c>
      <c r="K71" s="23">
        <f t="shared" si="2"/>
        <v>0.3958573072</v>
      </c>
      <c r="L71" s="19" t="str">
        <f>VLOOKUP(F71,Pedidos!$A:$L,8,FALSE)</f>
        <v>Débito/Crédito</v>
      </c>
      <c r="M71" s="19" t="str">
        <f>VLOOKUP(F71,Pedidos!$A:$L,7,FALSE)</f>
        <v>Despachado</v>
      </c>
    </row>
    <row r="72" ht="15.75" customHeight="1">
      <c r="A72" s="24">
        <f>VLOOKUP(F72,Pedidos!$A:$L,2,FALSE)</f>
        <v>46148</v>
      </c>
      <c r="B72" s="19" t="str">
        <f>VLOOKUP(F72,Pedidos!$A:$L,3,FALSE)</f>
        <v>Café Araucanía</v>
      </c>
      <c r="C72" s="19" t="str">
        <f>VLOOKUP(F72,Pedidos!$A:$L,4,FALSE)</f>
        <v>Pucón</v>
      </c>
      <c r="D72" s="19" t="str">
        <f>VLOOKUP(F72,Pedidos!$A:$L,5,FALSE)</f>
        <v>Camino Internacional</v>
      </c>
      <c r="E72" s="19" t="str">
        <f>VLOOKUP(F72,Pedidos!$A:$L,6,FALSE)</f>
        <v>Jorge</v>
      </c>
      <c r="F72" s="19" t="str">
        <f>Detalle_Pedidos!A72</f>
        <v>PED-1022</v>
      </c>
      <c r="G72" s="19" t="str">
        <f>Detalle_Pedidos!C72</f>
        <v>Energética Score Gorilla 735 ml</v>
      </c>
      <c r="H72" s="22">
        <f>Detalle_Pedidos!F72</f>
        <v>14706</v>
      </c>
      <c r="I72" s="22">
        <f>Detalle_Pedidos!D72*Detalle_Pedidos!G72</f>
        <v>9840</v>
      </c>
      <c r="J72" s="22">
        <f t="shared" si="1"/>
        <v>4866</v>
      </c>
      <c r="K72" s="23">
        <f t="shared" si="2"/>
        <v>0.3308853529</v>
      </c>
      <c r="L72" s="19" t="str">
        <f>VLOOKUP(F72,Pedidos!$A:$L,8,FALSE)</f>
        <v>Débito/Crédito</v>
      </c>
      <c r="M72" s="19" t="str">
        <f>VLOOKUP(F72,Pedidos!$A:$L,7,FALSE)</f>
        <v>Despachado</v>
      </c>
    </row>
    <row r="73" ht="15.75" customHeight="1">
      <c r="A73" s="24">
        <f>VLOOKUP(F73,Pedidos!$A:$L,2,FALSE)</f>
        <v>46148</v>
      </c>
      <c r="B73" s="19" t="str">
        <f>VLOOKUP(F73,Pedidos!$A:$L,3,FALSE)</f>
        <v>Café Araucanía</v>
      </c>
      <c r="C73" s="19" t="str">
        <f>VLOOKUP(F73,Pedidos!$A:$L,4,FALSE)</f>
        <v>Pucón</v>
      </c>
      <c r="D73" s="19" t="str">
        <f>VLOOKUP(F73,Pedidos!$A:$L,5,FALSE)</f>
        <v>Camino Internacional</v>
      </c>
      <c r="E73" s="19" t="str">
        <f>VLOOKUP(F73,Pedidos!$A:$L,6,FALSE)</f>
        <v>Jorge</v>
      </c>
      <c r="F73" s="19" t="str">
        <f>Detalle_Pedidos!A73</f>
        <v>PED-1022</v>
      </c>
      <c r="G73" s="19" t="str">
        <f>Detalle_Pedidos!C73</f>
        <v>Pellet saco 15 kg</v>
      </c>
      <c r="H73" s="22">
        <f>Detalle_Pedidos!F73</f>
        <v>72200</v>
      </c>
      <c r="I73" s="22">
        <f>Detalle_Pedidos!D73*Detalle_Pedidos!G73</f>
        <v>57200</v>
      </c>
      <c r="J73" s="22">
        <f t="shared" si="1"/>
        <v>15000</v>
      </c>
      <c r="K73" s="23">
        <f t="shared" si="2"/>
        <v>0.2077562327</v>
      </c>
      <c r="L73" s="19" t="str">
        <f>VLOOKUP(F73,Pedidos!$A:$L,8,FALSE)</f>
        <v>Débito/Crédito</v>
      </c>
      <c r="M73" s="19" t="str">
        <f>VLOOKUP(F73,Pedidos!$A:$L,7,FALSE)</f>
        <v>Despachado</v>
      </c>
    </row>
    <row r="74" ht="15.75" customHeight="1">
      <c r="A74" s="26"/>
      <c r="B74" s="4"/>
      <c r="C74" s="4"/>
      <c r="D74" s="4"/>
      <c r="E74" s="4"/>
      <c r="F74" s="4"/>
      <c r="G74" s="4"/>
      <c r="H74" s="12"/>
      <c r="I74" s="12"/>
      <c r="J74" s="12"/>
      <c r="K74" s="25"/>
      <c r="L74" s="4"/>
      <c r="M74" s="4"/>
    </row>
    <row r="75" ht="15.75" customHeight="1">
      <c r="A75" s="26"/>
      <c r="B75" s="4"/>
      <c r="C75" s="4"/>
      <c r="D75" s="4"/>
      <c r="E75" s="4"/>
      <c r="F75" s="4"/>
      <c r="G75" s="4"/>
      <c r="H75" s="12"/>
      <c r="I75" s="12"/>
      <c r="J75" s="12"/>
      <c r="K75" s="25"/>
      <c r="L75" s="4"/>
      <c r="M75" s="4"/>
    </row>
    <row r="76" ht="15.75" customHeight="1">
      <c r="A76" s="26"/>
      <c r="B76" s="4"/>
      <c r="C76" s="4"/>
      <c r="D76" s="4"/>
      <c r="E76" s="4"/>
      <c r="F76" s="4"/>
      <c r="G76" s="4"/>
      <c r="H76" s="12"/>
      <c r="I76" s="12"/>
      <c r="J76" s="12"/>
      <c r="K76" s="25"/>
      <c r="L76" s="4"/>
      <c r="M76" s="4"/>
    </row>
    <row r="77" ht="15.75" customHeight="1">
      <c r="A77" s="26"/>
      <c r="B77" s="4"/>
      <c r="C77" s="4"/>
      <c r="D77" s="4"/>
      <c r="E77" s="4"/>
      <c r="F77" s="4"/>
      <c r="G77" s="4"/>
      <c r="H77" s="12"/>
      <c r="I77" s="12"/>
      <c r="J77" s="12"/>
      <c r="K77" s="25"/>
      <c r="L77" s="4"/>
      <c r="M77" s="4"/>
    </row>
    <row r="78" ht="15.75" customHeight="1">
      <c r="A78" s="26"/>
      <c r="B78" s="4"/>
      <c r="C78" s="4"/>
      <c r="D78" s="4"/>
      <c r="E78" s="4"/>
      <c r="F78" s="4"/>
      <c r="G78" s="4"/>
      <c r="H78" s="12"/>
      <c r="I78" s="12"/>
      <c r="J78" s="12"/>
      <c r="K78" s="25"/>
      <c r="L78" s="4"/>
      <c r="M78" s="4"/>
    </row>
    <row r="79" ht="15.75" customHeight="1">
      <c r="A79" s="26"/>
      <c r="B79" s="4"/>
      <c r="C79" s="4"/>
      <c r="D79" s="4"/>
      <c r="E79" s="4"/>
      <c r="F79" s="4"/>
      <c r="G79" s="4"/>
      <c r="H79" s="12"/>
      <c r="I79" s="12"/>
      <c r="J79" s="12"/>
      <c r="K79" s="25"/>
      <c r="L79" s="4"/>
      <c r="M79" s="4"/>
    </row>
    <row r="80" ht="15.75" customHeight="1">
      <c r="A80" s="26"/>
      <c r="B80" s="4"/>
      <c r="C80" s="4"/>
      <c r="D80" s="4"/>
      <c r="E80" s="4"/>
      <c r="F80" s="4"/>
      <c r="G80" s="4"/>
      <c r="H80" s="12"/>
      <c r="I80" s="12"/>
      <c r="J80" s="12"/>
      <c r="K80" s="25"/>
      <c r="L80" s="4"/>
      <c r="M80" s="4"/>
    </row>
    <row r="81" ht="15.75" customHeight="1">
      <c r="A81" s="26"/>
      <c r="B81" s="4"/>
      <c r="C81" s="4"/>
      <c r="D81" s="4"/>
      <c r="E81" s="4"/>
      <c r="F81" s="4"/>
      <c r="G81" s="4"/>
      <c r="H81" s="12"/>
      <c r="I81" s="12"/>
      <c r="J81" s="12"/>
      <c r="K81" s="25"/>
      <c r="L81" s="4"/>
      <c r="M81" s="4"/>
    </row>
    <row r="82" ht="15.75" customHeight="1">
      <c r="A82" s="26"/>
      <c r="B82" s="4"/>
      <c r="C82" s="4"/>
      <c r="D82" s="4"/>
      <c r="E82" s="4"/>
      <c r="F82" s="4"/>
      <c r="G82" s="4"/>
      <c r="H82" s="12"/>
      <c r="I82" s="12"/>
      <c r="J82" s="12"/>
      <c r="K82" s="25"/>
      <c r="L82" s="4"/>
      <c r="M82" s="4"/>
    </row>
    <row r="83" ht="15.75" customHeight="1">
      <c r="A83" s="26"/>
      <c r="B83" s="4"/>
      <c r="C83" s="4"/>
      <c r="D83" s="4"/>
      <c r="E83" s="4"/>
      <c r="F83" s="4"/>
      <c r="G83" s="4"/>
      <c r="H83" s="12"/>
      <c r="I83" s="12"/>
      <c r="J83" s="12"/>
      <c r="K83" s="25"/>
      <c r="L83" s="4"/>
      <c r="M83" s="4"/>
    </row>
    <row r="84" ht="15.75" customHeight="1">
      <c r="A84" s="26"/>
      <c r="B84" s="4"/>
      <c r="C84" s="4"/>
      <c r="D84" s="4"/>
      <c r="E84" s="4"/>
      <c r="F84" s="4"/>
      <c r="G84" s="4"/>
      <c r="H84" s="12"/>
      <c r="I84" s="12"/>
      <c r="J84" s="12"/>
      <c r="K84" s="25"/>
      <c r="L84" s="4"/>
      <c r="M84" s="4"/>
    </row>
    <row r="85" ht="15.75" customHeight="1">
      <c r="A85" s="26"/>
      <c r="B85" s="4"/>
      <c r="C85" s="4"/>
      <c r="D85" s="4"/>
      <c r="E85" s="4"/>
      <c r="F85" s="4"/>
      <c r="G85" s="4"/>
      <c r="H85" s="12"/>
      <c r="I85" s="12"/>
      <c r="J85" s="12"/>
      <c r="K85" s="25"/>
      <c r="L85" s="4"/>
      <c r="M85" s="4"/>
    </row>
    <row r="86" ht="15.75" customHeight="1">
      <c r="A86" s="26"/>
      <c r="B86" s="4"/>
      <c r="C86" s="4"/>
      <c r="D86" s="4"/>
      <c r="E86" s="4"/>
      <c r="F86" s="4"/>
      <c r="G86" s="4"/>
      <c r="H86" s="12"/>
      <c r="I86" s="12"/>
      <c r="J86" s="12"/>
      <c r="K86" s="25"/>
      <c r="L86" s="4"/>
      <c r="M86" s="4"/>
    </row>
    <row r="87" ht="15.75" customHeight="1">
      <c r="A87" s="26"/>
      <c r="B87" s="4"/>
      <c r="C87" s="4"/>
      <c r="D87" s="4"/>
      <c r="E87" s="4"/>
      <c r="F87" s="4"/>
      <c r="G87" s="4"/>
      <c r="H87" s="12"/>
      <c r="I87" s="12"/>
      <c r="J87" s="12"/>
      <c r="K87" s="25"/>
      <c r="L87" s="4"/>
      <c r="M87" s="4"/>
    </row>
    <row r="88" ht="15.75" customHeight="1">
      <c r="A88" s="26"/>
      <c r="B88" s="4"/>
      <c r="C88" s="4"/>
      <c r="D88" s="4"/>
      <c r="E88" s="4"/>
      <c r="F88" s="4"/>
      <c r="G88" s="4"/>
      <c r="H88" s="12"/>
      <c r="I88" s="12"/>
      <c r="J88" s="12"/>
      <c r="K88" s="25"/>
      <c r="L88" s="4"/>
      <c r="M88" s="4"/>
    </row>
    <row r="89" ht="15.75" customHeight="1">
      <c r="A89" s="26"/>
      <c r="B89" s="4"/>
      <c r="C89" s="4"/>
      <c r="D89" s="4"/>
      <c r="E89" s="4"/>
      <c r="F89" s="4"/>
      <c r="G89" s="4"/>
      <c r="H89" s="12"/>
      <c r="I89" s="12"/>
      <c r="J89" s="12"/>
      <c r="K89" s="25"/>
      <c r="L89" s="4"/>
      <c r="M89" s="4"/>
    </row>
    <row r="90" ht="15.75" customHeight="1">
      <c r="A90" s="26"/>
      <c r="B90" s="4"/>
      <c r="C90" s="4"/>
      <c r="D90" s="4"/>
      <c r="E90" s="4"/>
      <c r="F90" s="4"/>
      <c r="G90" s="4"/>
      <c r="H90" s="12"/>
      <c r="I90" s="12"/>
      <c r="J90" s="12"/>
      <c r="K90" s="25"/>
      <c r="L90" s="4"/>
      <c r="M90" s="4"/>
    </row>
    <row r="91" ht="15.75" customHeight="1">
      <c r="A91" s="26"/>
      <c r="B91" s="4"/>
      <c r="C91" s="4"/>
      <c r="D91" s="4"/>
      <c r="E91" s="4"/>
      <c r="F91" s="4"/>
      <c r="G91" s="4"/>
      <c r="H91" s="12"/>
      <c r="I91" s="12"/>
      <c r="J91" s="12"/>
      <c r="K91" s="25"/>
      <c r="L91" s="4"/>
      <c r="M91" s="4"/>
    </row>
    <row r="92" ht="15.75" customHeight="1">
      <c r="A92" s="26"/>
      <c r="B92" s="4"/>
      <c r="C92" s="4"/>
      <c r="D92" s="4"/>
      <c r="E92" s="4"/>
      <c r="F92" s="4"/>
      <c r="G92" s="4"/>
      <c r="H92" s="12"/>
      <c r="I92" s="12"/>
      <c r="J92" s="12"/>
      <c r="K92" s="25"/>
      <c r="L92" s="4"/>
      <c r="M92" s="4"/>
    </row>
    <row r="93" ht="15.75" customHeight="1">
      <c r="A93" s="26"/>
      <c r="B93" s="4"/>
      <c r="C93" s="4"/>
      <c r="D93" s="4"/>
      <c r="E93" s="4"/>
      <c r="F93" s="4"/>
      <c r="G93" s="4"/>
      <c r="H93" s="12"/>
      <c r="I93" s="12"/>
      <c r="J93" s="12"/>
      <c r="K93" s="25"/>
      <c r="L93" s="4"/>
      <c r="M93" s="4"/>
    </row>
    <row r="94" ht="15.75" customHeight="1">
      <c r="A94" s="26"/>
      <c r="B94" s="4"/>
      <c r="C94" s="4"/>
      <c r="D94" s="4"/>
      <c r="E94" s="4"/>
      <c r="F94" s="4"/>
      <c r="G94" s="4"/>
      <c r="H94" s="12"/>
      <c r="I94" s="12"/>
      <c r="J94" s="12"/>
      <c r="K94" s="25"/>
      <c r="L94" s="4"/>
      <c r="M94" s="4"/>
    </row>
    <row r="95" ht="15.75" customHeight="1">
      <c r="A95" s="26"/>
      <c r="B95" s="4"/>
      <c r="C95" s="4"/>
      <c r="D95" s="4"/>
      <c r="E95" s="4"/>
      <c r="F95" s="4"/>
      <c r="G95" s="4"/>
      <c r="H95" s="12"/>
      <c r="I95" s="12"/>
      <c r="J95" s="12"/>
      <c r="K95" s="25"/>
      <c r="L95" s="4"/>
      <c r="M95" s="4"/>
    </row>
    <row r="96" ht="15.75" customHeight="1">
      <c r="A96" s="26"/>
      <c r="B96" s="4"/>
      <c r="C96" s="4"/>
      <c r="D96" s="4"/>
      <c r="E96" s="4"/>
      <c r="F96" s="4"/>
      <c r="G96" s="4"/>
      <c r="H96" s="12"/>
      <c r="I96" s="12"/>
      <c r="J96" s="12"/>
      <c r="K96" s="25"/>
      <c r="L96" s="4"/>
      <c r="M96" s="4"/>
    </row>
    <row r="97" ht="15.75" customHeight="1">
      <c r="A97" s="26"/>
      <c r="B97" s="4"/>
      <c r="C97" s="4"/>
      <c r="D97" s="4"/>
      <c r="E97" s="4"/>
      <c r="F97" s="4"/>
      <c r="G97" s="4"/>
      <c r="H97" s="12"/>
      <c r="I97" s="12"/>
      <c r="J97" s="12"/>
      <c r="K97" s="25"/>
      <c r="L97" s="4"/>
      <c r="M97" s="4"/>
    </row>
    <row r="98" ht="15.75" customHeight="1">
      <c r="A98" s="26"/>
      <c r="B98" s="4"/>
      <c r="C98" s="4"/>
      <c r="D98" s="4"/>
      <c r="E98" s="4"/>
      <c r="F98" s="4"/>
      <c r="G98" s="4"/>
      <c r="H98" s="12"/>
      <c r="I98" s="12"/>
      <c r="J98" s="12"/>
      <c r="K98" s="25"/>
      <c r="L98" s="4"/>
      <c r="M98" s="4"/>
    </row>
    <row r="99" ht="15.75" customHeight="1">
      <c r="A99" s="26"/>
      <c r="B99" s="4"/>
      <c r="C99" s="4"/>
      <c r="D99" s="4"/>
      <c r="E99" s="4"/>
      <c r="F99" s="4"/>
      <c r="G99" s="4"/>
      <c r="H99" s="12"/>
      <c r="I99" s="12"/>
      <c r="J99" s="12"/>
      <c r="K99" s="25"/>
      <c r="L99" s="4"/>
      <c r="M99" s="4"/>
    </row>
    <row r="100" ht="15.75" customHeight="1">
      <c r="A100" s="26"/>
      <c r="B100" s="4"/>
      <c r="C100" s="4"/>
      <c r="D100" s="4"/>
      <c r="E100" s="4"/>
      <c r="F100" s="4"/>
      <c r="G100" s="4"/>
      <c r="H100" s="12"/>
      <c r="I100" s="12"/>
      <c r="J100" s="12"/>
      <c r="K100" s="25"/>
      <c r="L100" s="4"/>
      <c r="M100" s="4"/>
    </row>
    <row r="101" ht="15.75" customHeight="1">
      <c r="A101" s="26"/>
      <c r="B101" s="4"/>
      <c r="C101" s="4"/>
      <c r="D101" s="4"/>
      <c r="E101" s="4"/>
      <c r="F101" s="4"/>
      <c r="G101" s="4"/>
      <c r="H101" s="12"/>
      <c r="I101" s="12"/>
      <c r="J101" s="12"/>
      <c r="K101" s="25"/>
      <c r="L101" s="4"/>
      <c r="M101" s="4"/>
    </row>
    <row r="102" ht="15.75" customHeight="1">
      <c r="A102" s="26"/>
      <c r="B102" s="4"/>
      <c r="C102" s="4"/>
      <c r="D102" s="4"/>
      <c r="E102" s="4"/>
      <c r="F102" s="4"/>
      <c r="G102" s="4"/>
      <c r="H102" s="12"/>
      <c r="I102" s="12"/>
      <c r="J102" s="12"/>
      <c r="K102" s="25"/>
      <c r="L102" s="4"/>
      <c r="M102" s="4"/>
    </row>
    <row r="103" ht="15.75" customHeight="1">
      <c r="A103" s="26"/>
      <c r="B103" s="4"/>
      <c r="C103" s="4"/>
      <c r="D103" s="4"/>
      <c r="E103" s="4"/>
      <c r="F103" s="4"/>
      <c r="G103" s="4"/>
      <c r="H103" s="12"/>
      <c r="I103" s="12"/>
      <c r="J103" s="12"/>
      <c r="K103" s="25"/>
      <c r="L103" s="4"/>
      <c r="M103" s="4"/>
    </row>
    <row r="104" ht="15.75" customHeight="1">
      <c r="A104" s="26"/>
      <c r="B104" s="4"/>
      <c r="C104" s="4"/>
      <c r="D104" s="4"/>
      <c r="E104" s="4"/>
      <c r="F104" s="4"/>
      <c r="G104" s="4"/>
      <c r="H104" s="12"/>
      <c r="I104" s="12"/>
      <c r="J104" s="12"/>
      <c r="K104" s="25"/>
      <c r="L104" s="4"/>
      <c r="M104" s="4"/>
    </row>
    <row r="105" ht="15.75" customHeight="1">
      <c r="A105" s="26"/>
      <c r="B105" s="4"/>
      <c r="C105" s="4"/>
      <c r="D105" s="4"/>
      <c r="E105" s="4"/>
      <c r="F105" s="4"/>
      <c r="G105" s="4"/>
      <c r="H105" s="12"/>
      <c r="I105" s="12"/>
      <c r="J105" s="12"/>
      <c r="K105" s="25"/>
      <c r="L105" s="4"/>
      <c r="M105" s="4"/>
    </row>
    <row r="106" ht="15.75" customHeight="1">
      <c r="A106" s="26"/>
      <c r="B106" s="4"/>
      <c r="C106" s="4"/>
      <c r="D106" s="4"/>
      <c r="E106" s="4"/>
      <c r="F106" s="4"/>
      <c r="G106" s="4"/>
      <c r="H106" s="12"/>
      <c r="I106" s="12"/>
      <c r="J106" s="12"/>
      <c r="K106" s="25"/>
      <c r="L106" s="4"/>
      <c r="M106" s="4"/>
    </row>
    <row r="107" ht="15.75" customHeight="1">
      <c r="A107" s="26"/>
      <c r="B107" s="4"/>
      <c r="C107" s="4"/>
      <c r="D107" s="4"/>
      <c r="E107" s="4"/>
      <c r="F107" s="4"/>
      <c r="G107" s="4"/>
      <c r="H107" s="12"/>
      <c r="I107" s="12"/>
      <c r="J107" s="12"/>
      <c r="K107" s="25"/>
      <c r="L107" s="4"/>
      <c r="M107" s="4"/>
    </row>
    <row r="108" ht="15.75" customHeight="1">
      <c r="A108" s="26"/>
      <c r="B108" s="4"/>
      <c r="C108" s="4"/>
      <c r="D108" s="4"/>
      <c r="E108" s="4"/>
      <c r="F108" s="4"/>
      <c r="G108" s="4"/>
      <c r="H108" s="12"/>
      <c r="I108" s="12"/>
      <c r="J108" s="12"/>
      <c r="K108" s="25"/>
      <c r="L108" s="4"/>
      <c r="M108" s="4"/>
    </row>
    <row r="109" ht="15.75" customHeight="1">
      <c r="A109" s="26"/>
      <c r="B109" s="4"/>
      <c r="C109" s="4"/>
      <c r="D109" s="4"/>
      <c r="E109" s="4"/>
      <c r="F109" s="4"/>
      <c r="G109" s="4"/>
      <c r="H109" s="12"/>
      <c r="I109" s="12"/>
      <c r="J109" s="12"/>
      <c r="K109" s="25"/>
      <c r="L109" s="4"/>
      <c r="M109" s="4"/>
    </row>
    <row r="110" ht="15.75" customHeight="1">
      <c r="A110" s="26"/>
      <c r="B110" s="4"/>
      <c r="C110" s="4"/>
      <c r="D110" s="4"/>
      <c r="E110" s="4"/>
      <c r="F110" s="4"/>
      <c r="G110" s="4"/>
      <c r="H110" s="12"/>
      <c r="I110" s="12"/>
      <c r="J110" s="12"/>
      <c r="K110" s="25"/>
      <c r="L110" s="4"/>
      <c r="M110" s="4"/>
    </row>
    <row r="111" ht="15.75" customHeight="1">
      <c r="A111" s="26"/>
      <c r="B111" s="4"/>
      <c r="C111" s="4"/>
      <c r="D111" s="4"/>
      <c r="E111" s="4"/>
      <c r="F111" s="4"/>
      <c r="G111" s="4"/>
      <c r="H111" s="12"/>
      <c r="I111" s="12"/>
      <c r="J111" s="12"/>
      <c r="K111" s="25"/>
      <c r="L111" s="4"/>
      <c r="M111" s="4"/>
    </row>
    <row r="112" ht="15.75" customHeight="1">
      <c r="A112" s="26"/>
      <c r="B112" s="4"/>
      <c r="C112" s="4"/>
      <c r="D112" s="4"/>
      <c r="E112" s="4"/>
      <c r="F112" s="4"/>
      <c r="G112" s="4"/>
      <c r="H112" s="12"/>
      <c r="I112" s="12"/>
      <c r="J112" s="12"/>
      <c r="K112" s="25"/>
      <c r="L112" s="4"/>
      <c r="M112" s="4"/>
    </row>
    <row r="113" ht="15.75" customHeight="1">
      <c r="A113" s="26"/>
      <c r="B113" s="4"/>
      <c r="C113" s="4"/>
      <c r="D113" s="4"/>
      <c r="E113" s="4"/>
      <c r="F113" s="4"/>
      <c r="G113" s="4"/>
      <c r="H113" s="12"/>
      <c r="I113" s="12"/>
      <c r="J113" s="12"/>
      <c r="K113" s="25"/>
      <c r="L113" s="4"/>
      <c r="M113" s="4"/>
    </row>
    <row r="114" ht="15.75" customHeight="1">
      <c r="A114" s="26"/>
      <c r="B114" s="4"/>
      <c r="C114" s="4"/>
      <c r="D114" s="4"/>
      <c r="E114" s="4"/>
      <c r="F114" s="4"/>
      <c r="G114" s="4"/>
      <c r="H114" s="12"/>
      <c r="I114" s="12"/>
      <c r="J114" s="12"/>
      <c r="K114" s="25"/>
      <c r="L114" s="4"/>
      <c r="M114" s="4"/>
    </row>
    <row r="115" ht="15.75" customHeight="1">
      <c r="A115" s="26"/>
      <c r="B115" s="4"/>
      <c r="C115" s="4"/>
      <c r="D115" s="4"/>
      <c r="E115" s="4"/>
      <c r="F115" s="4"/>
      <c r="G115" s="4"/>
      <c r="H115" s="12"/>
      <c r="I115" s="12"/>
      <c r="J115" s="12"/>
      <c r="K115" s="25"/>
      <c r="L115" s="4"/>
      <c r="M115" s="4"/>
    </row>
    <row r="116" ht="15.75" customHeight="1">
      <c r="A116" s="26"/>
      <c r="B116" s="4"/>
      <c r="C116" s="4"/>
      <c r="D116" s="4"/>
      <c r="E116" s="4"/>
      <c r="F116" s="4"/>
      <c r="G116" s="4"/>
      <c r="H116" s="12"/>
      <c r="I116" s="12"/>
      <c r="J116" s="12"/>
      <c r="K116" s="25"/>
      <c r="L116" s="4"/>
      <c r="M116" s="4"/>
    </row>
    <row r="117" ht="15.75" customHeight="1">
      <c r="A117" s="26"/>
      <c r="B117" s="4"/>
      <c r="C117" s="4"/>
      <c r="D117" s="4"/>
      <c r="E117" s="4"/>
      <c r="F117" s="4"/>
      <c r="G117" s="4"/>
      <c r="H117" s="12"/>
      <c r="I117" s="12"/>
      <c r="J117" s="12"/>
      <c r="K117" s="25"/>
      <c r="L117" s="4"/>
      <c r="M117" s="4"/>
    </row>
    <row r="118" ht="15.75" customHeight="1">
      <c r="A118" s="26"/>
      <c r="B118" s="4"/>
      <c r="C118" s="4"/>
      <c r="D118" s="4"/>
      <c r="E118" s="4"/>
      <c r="F118" s="4"/>
      <c r="G118" s="4"/>
      <c r="H118" s="12"/>
      <c r="I118" s="12"/>
      <c r="J118" s="12"/>
      <c r="K118" s="25"/>
      <c r="L118" s="4"/>
      <c r="M118" s="4"/>
    </row>
    <row r="119" ht="15.75" customHeight="1">
      <c r="A119" s="26"/>
      <c r="B119" s="4"/>
      <c r="C119" s="4"/>
      <c r="D119" s="4"/>
      <c r="E119" s="4"/>
      <c r="F119" s="4"/>
      <c r="G119" s="4"/>
      <c r="H119" s="12"/>
      <c r="I119" s="12"/>
      <c r="J119" s="12"/>
      <c r="K119" s="25"/>
      <c r="L119" s="4"/>
      <c r="M119" s="4"/>
    </row>
    <row r="120" ht="15.75" customHeight="1">
      <c r="A120" s="26"/>
      <c r="B120" s="4"/>
      <c r="C120" s="4"/>
      <c r="D120" s="4"/>
      <c r="E120" s="4"/>
      <c r="F120" s="4"/>
      <c r="G120" s="4"/>
      <c r="H120" s="12"/>
      <c r="I120" s="12"/>
      <c r="J120" s="12"/>
      <c r="K120" s="25"/>
      <c r="L120" s="4"/>
      <c r="M120" s="4"/>
    </row>
    <row r="121" ht="15.75" customHeight="1">
      <c r="A121" s="26"/>
      <c r="B121" s="4"/>
      <c r="C121" s="4"/>
      <c r="D121" s="4"/>
      <c r="E121" s="4"/>
      <c r="F121" s="4"/>
      <c r="G121" s="4"/>
      <c r="H121" s="12"/>
      <c r="I121" s="12"/>
      <c r="J121" s="12"/>
      <c r="K121" s="25"/>
      <c r="L121" s="4"/>
      <c r="M121" s="4"/>
    </row>
    <row r="122" ht="15.75" customHeight="1">
      <c r="A122" s="26"/>
      <c r="B122" s="4"/>
      <c r="C122" s="4"/>
      <c r="D122" s="4"/>
      <c r="E122" s="4"/>
      <c r="F122" s="4"/>
      <c r="G122" s="4"/>
      <c r="H122" s="12"/>
      <c r="I122" s="12"/>
      <c r="J122" s="12"/>
      <c r="K122" s="25"/>
      <c r="L122" s="4"/>
      <c r="M122" s="4"/>
    </row>
    <row r="123" ht="15.75" customHeight="1">
      <c r="A123" s="26"/>
      <c r="B123" s="4"/>
      <c r="C123" s="4"/>
      <c r="D123" s="4"/>
      <c r="E123" s="4"/>
      <c r="F123" s="4"/>
      <c r="G123" s="4"/>
      <c r="H123" s="12"/>
      <c r="I123" s="12"/>
      <c r="J123" s="12"/>
      <c r="K123" s="25"/>
      <c r="L123" s="4"/>
      <c r="M123" s="4"/>
    </row>
    <row r="124" ht="15.75" customHeight="1">
      <c r="A124" s="26"/>
      <c r="B124" s="4"/>
      <c r="C124" s="4"/>
      <c r="D124" s="4"/>
      <c r="E124" s="4"/>
      <c r="F124" s="4"/>
      <c r="G124" s="4"/>
      <c r="H124" s="12"/>
      <c r="I124" s="12"/>
      <c r="J124" s="12"/>
      <c r="K124" s="25"/>
      <c r="L124" s="4"/>
      <c r="M124" s="4"/>
    </row>
    <row r="125" ht="15.75" customHeight="1">
      <c r="A125" s="26"/>
      <c r="B125" s="4"/>
      <c r="C125" s="4"/>
      <c r="D125" s="4"/>
      <c r="E125" s="4"/>
      <c r="F125" s="4"/>
      <c r="G125" s="4"/>
      <c r="H125" s="12"/>
      <c r="I125" s="12"/>
      <c r="J125" s="12"/>
      <c r="K125" s="25"/>
      <c r="L125" s="4"/>
      <c r="M125" s="4"/>
    </row>
    <row r="126" ht="15.75" customHeight="1">
      <c r="A126" s="26"/>
      <c r="B126" s="4"/>
      <c r="C126" s="4"/>
      <c r="D126" s="4"/>
      <c r="E126" s="4"/>
      <c r="F126" s="4"/>
      <c r="G126" s="4"/>
      <c r="H126" s="12"/>
      <c r="I126" s="12"/>
      <c r="J126" s="12"/>
      <c r="K126" s="25"/>
      <c r="L126" s="4"/>
      <c r="M126" s="4"/>
    </row>
    <row r="127" ht="15.75" customHeight="1">
      <c r="A127" s="26"/>
      <c r="B127" s="4"/>
      <c r="C127" s="4"/>
      <c r="D127" s="4"/>
      <c r="E127" s="4"/>
      <c r="F127" s="4"/>
      <c r="G127" s="4"/>
      <c r="H127" s="12"/>
      <c r="I127" s="12"/>
      <c r="J127" s="12"/>
      <c r="K127" s="25"/>
      <c r="L127" s="4"/>
      <c r="M127" s="4"/>
    </row>
    <row r="128" ht="15.75" customHeight="1">
      <c r="A128" s="26"/>
      <c r="B128" s="4"/>
      <c r="C128" s="4"/>
      <c r="D128" s="4"/>
      <c r="E128" s="4"/>
      <c r="F128" s="4"/>
      <c r="G128" s="4"/>
      <c r="H128" s="12"/>
      <c r="I128" s="12"/>
      <c r="J128" s="12"/>
      <c r="K128" s="25"/>
      <c r="L128" s="4"/>
      <c r="M128" s="4"/>
    </row>
    <row r="129" ht="15.75" customHeight="1">
      <c r="A129" s="26"/>
      <c r="B129" s="4"/>
      <c r="C129" s="4"/>
      <c r="D129" s="4"/>
      <c r="E129" s="4"/>
      <c r="F129" s="4"/>
      <c r="G129" s="4"/>
      <c r="H129" s="12"/>
      <c r="I129" s="12"/>
      <c r="J129" s="12"/>
      <c r="K129" s="25"/>
      <c r="L129" s="4"/>
      <c r="M129" s="4"/>
    </row>
    <row r="130" ht="15.75" customHeight="1">
      <c r="A130" s="26"/>
      <c r="B130" s="4"/>
      <c r="C130" s="4"/>
      <c r="D130" s="4"/>
      <c r="E130" s="4"/>
      <c r="F130" s="4"/>
      <c r="G130" s="4"/>
      <c r="H130" s="12"/>
      <c r="I130" s="12"/>
      <c r="J130" s="12"/>
      <c r="K130" s="25"/>
      <c r="L130" s="4"/>
      <c r="M130" s="4"/>
    </row>
    <row r="131" ht="15.75" customHeight="1">
      <c r="A131" s="26"/>
      <c r="B131" s="4"/>
      <c r="C131" s="4"/>
      <c r="D131" s="4"/>
      <c r="E131" s="4"/>
      <c r="F131" s="4"/>
      <c r="G131" s="4"/>
      <c r="H131" s="12"/>
      <c r="I131" s="12"/>
      <c r="J131" s="12"/>
      <c r="K131" s="25"/>
      <c r="L131" s="4"/>
      <c r="M131" s="4"/>
    </row>
    <row r="132" ht="15.75" customHeight="1">
      <c r="A132" s="26"/>
      <c r="B132" s="4"/>
      <c r="C132" s="4"/>
      <c r="D132" s="4"/>
      <c r="E132" s="4"/>
      <c r="F132" s="4"/>
      <c r="G132" s="4"/>
      <c r="H132" s="12"/>
      <c r="I132" s="12"/>
      <c r="J132" s="12"/>
      <c r="K132" s="25"/>
      <c r="L132" s="4"/>
      <c r="M132" s="4"/>
    </row>
    <row r="133" ht="15.75" customHeight="1">
      <c r="A133" s="26"/>
      <c r="B133" s="4"/>
      <c r="C133" s="4"/>
      <c r="D133" s="4"/>
      <c r="E133" s="4"/>
      <c r="F133" s="4"/>
      <c r="G133" s="4"/>
      <c r="H133" s="12"/>
      <c r="I133" s="12"/>
      <c r="J133" s="12"/>
      <c r="K133" s="25"/>
      <c r="L133" s="4"/>
      <c r="M133" s="4"/>
    </row>
    <row r="134" ht="15.75" customHeight="1">
      <c r="A134" s="26"/>
      <c r="B134" s="4"/>
      <c r="C134" s="4"/>
      <c r="D134" s="4"/>
      <c r="E134" s="4"/>
      <c r="F134" s="4"/>
      <c r="G134" s="4"/>
      <c r="H134" s="12"/>
      <c r="I134" s="12"/>
      <c r="J134" s="12"/>
      <c r="K134" s="25"/>
      <c r="L134" s="4"/>
      <c r="M134" s="4"/>
    </row>
    <row r="135" ht="15.75" customHeight="1">
      <c r="A135" s="26"/>
      <c r="B135" s="4"/>
      <c r="C135" s="4"/>
      <c r="D135" s="4"/>
      <c r="E135" s="4"/>
      <c r="F135" s="4"/>
      <c r="G135" s="4"/>
      <c r="H135" s="12"/>
      <c r="I135" s="12"/>
      <c r="J135" s="12"/>
      <c r="K135" s="25"/>
      <c r="L135" s="4"/>
      <c r="M135" s="4"/>
    </row>
    <row r="136" ht="15.75" customHeight="1">
      <c r="A136" s="26"/>
      <c r="B136" s="4"/>
      <c r="C136" s="4"/>
      <c r="D136" s="4"/>
      <c r="E136" s="4"/>
      <c r="F136" s="4"/>
      <c r="G136" s="4"/>
      <c r="H136" s="12"/>
      <c r="I136" s="12"/>
      <c r="J136" s="12"/>
      <c r="K136" s="25"/>
      <c r="L136" s="4"/>
      <c r="M136" s="4"/>
    </row>
    <row r="137" ht="15.75" customHeight="1">
      <c r="A137" s="26"/>
      <c r="B137" s="4"/>
      <c r="C137" s="4"/>
      <c r="D137" s="4"/>
      <c r="E137" s="4"/>
      <c r="F137" s="4"/>
      <c r="G137" s="4"/>
      <c r="H137" s="12"/>
      <c r="I137" s="12"/>
      <c r="J137" s="12"/>
      <c r="K137" s="25"/>
      <c r="L137" s="4"/>
      <c r="M137" s="4"/>
    </row>
    <row r="138" ht="15.75" customHeight="1">
      <c r="A138" s="26"/>
      <c r="B138" s="4"/>
      <c r="C138" s="4"/>
      <c r="D138" s="4"/>
      <c r="E138" s="4"/>
      <c r="F138" s="4"/>
      <c r="G138" s="4"/>
      <c r="H138" s="12"/>
      <c r="I138" s="12"/>
      <c r="J138" s="12"/>
      <c r="K138" s="25"/>
      <c r="L138" s="4"/>
      <c r="M138" s="4"/>
    </row>
    <row r="139" ht="15.75" customHeight="1">
      <c r="A139" s="26"/>
      <c r="B139" s="4"/>
      <c r="C139" s="4"/>
      <c r="D139" s="4"/>
      <c r="E139" s="4"/>
      <c r="F139" s="4"/>
      <c r="G139" s="4"/>
      <c r="H139" s="12"/>
      <c r="I139" s="12"/>
      <c r="J139" s="12"/>
      <c r="K139" s="25"/>
      <c r="L139" s="4"/>
      <c r="M139" s="4"/>
    </row>
    <row r="140" ht="15.75" customHeight="1">
      <c r="A140" s="26"/>
      <c r="B140" s="4"/>
      <c r="C140" s="4"/>
      <c r="D140" s="4"/>
      <c r="E140" s="4"/>
      <c r="F140" s="4"/>
      <c r="G140" s="4"/>
      <c r="H140" s="12"/>
      <c r="I140" s="12"/>
      <c r="J140" s="12"/>
      <c r="K140" s="25"/>
      <c r="L140" s="4"/>
      <c r="M140" s="4"/>
    </row>
    <row r="141" ht="15.75" customHeight="1">
      <c r="A141" s="26"/>
      <c r="B141" s="4"/>
      <c r="C141" s="4"/>
      <c r="D141" s="4"/>
      <c r="E141" s="4"/>
      <c r="F141" s="4"/>
      <c r="G141" s="4"/>
      <c r="H141" s="12"/>
      <c r="I141" s="12"/>
      <c r="J141" s="12"/>
      <c r="K141" s="25"/>
      <c r="L141" s="4"/>
      <c r="M141" s="4"/>
    </row>
    <row r="142" ht="15.75" customHeight="1">
      <c r="A142" s="26"/>
      <c r="B142" s="4"/>
      <c r="C142" s="4"/>
      <c r="D142" s="4"/>
      <c r="E142" s="4"/>
      <c r="F142" s="4"/>
      <c r="G142" s="4"/>
      <c r="H142" s="12"/>
      <c r="I142" s="12"/>
      <c r="J142" s="12"/>
      <c r="K142" s="25"/>
      <c r="L142" s="4"/>
      <c r="M142" s="4"/>
    </row>
    <row r="143" ht="15.75" customHeight="1">
      <c r="A143" s="26"/>
      <c r="B143" s="4"/>
      <c r="C143" s="4"/>
      <c r="D143" s="4"/>
      <c r="E143" s="4"/>
      <c r="F143" s="4"/>
      <c r="G143" s="4"/>
      <c r="H143" s="12"/>
      <c r="I143" s="12"/>
      <c r="J143" s="12"/>
      <c r="K143" s="25"/>
      <c r="L143" s="4"/>
      <c r="M143" s="4"/>
    </row>
    <row r="144" ht="15.75" customHeight="1">
      <c r="A144" s="26"/>
      <c r="B144" s="4"/>
      <c r="C144" s="4"/>
      <c r="D144" s="4"/>
      <c r="E144" s="4"/>
      <c r="F144" s="4"/>
      <c r="G144" s="4"/>
      <c r="H144" s="12"/>
      <c r="I144" s="12"/>
      <c r="J144" s="12"/>
      <c r="K144" s="25"/>
      <c r="L144" s="4"/>
      <c r="M144" s="4"/>
    </row>
    <row r="145" ht="15.75" customHeight="1">
      <c r="A145" s="26"/>
      <c r="B145" s="4"/>
      <c r="C145" s="4"/>
      <c r="D145" s="4"/>
      <c r="E145" s="4"/>
      <c r="F145" s="4"/>
      <c r="G145" s="4"/>
      <c r="H145" s="12"/>
      <c r="I145" s="12"/>
      <c r="J145" s="12"/>
      <c r="K145" s="25"/>
      <c r="L145" s="4"/>
      <c r="M145" s="4"/>
    </row>
    <row r="146" ht="15.75" customHeight="1">
      <c r="A146" s="26"/>
      <c r="B146" s="4"/>
      <c r="C146" s="4"/>
      <c r="D146" s="4"/>
      <c r="E146" s="4"/>
      <c r="F146" s="4"/>
      <c r="G146" s="4"/>
      <c r="H146" s="12"/>
      <c r="I146" s="12"/>
      <c r="J146" s="12"/>
      <c r="K146" s="25"/>
      <c r="L146" s="4"/>
      <c r="M146" s="4"/>
    </row>
    <row r="147" ht="15.75" customHeight="1">
      <c r="A147" s="26"/>
      <c r="B147" s="4"/>
      <c r="C147" s="4"/>
      <c r="D147" s="4"/>
      <c r="E147" s="4"/>
      <c r="F147" s="4"/>
      <c r="G147" s="4"/>
      <c r="H147" s="12"/>
      <c r="I147" s="12"/>
      <c r="J147" s="12"/>
      <c r="K147" s="25"/>
      <c r="L147" s="4"/>
      <c r="M147" s="4"/>
    </row>
    <row r="148" ht="15.75" customHeight="1">
      <c r="A148" s="26"/>
      <c r="B148" s="4"/>
      <c r="C148" s="4"/>
      <c r="D148" s="4"/>
      <c r="E148" s="4"/>
      <c r="F148" s="4"/>
      <c r="G148" s="4"/>
      <c r="H148" s="12"/>
      <c r="I148" s="12"/>
      <c r="J148" s="12"/>
      <c r="K148" s="25"/>
      <c r="L148" s="4"/>
      <c r="M148" s="4"/>
    </row>
    <row r="149" ht="15.75" customHeight="1">
      <c r="A149" s="26"/>
      <c r="B149" s="4"/>
      <c r="C149" s="4"/>
      <c r="D149" s="4"/>
      <c r="E149" s="4"/>
      <c r="F149" s="4"/>
      <c r="G149" s="4"/>
      <c r="H149" s="12"/>
      <c r="I149" s="12"/>
      <c r="J149" s="12"/>
      <c r="K149" s="25"/>
      <c r="L149" s="4"/>
      <c r="M149" s="4"/>
    </row>
    <row r="150" ht="15.75" customHeight="1">
      <c r="A150" s="26"/>
      <c r="B150" s="4"/>
      <c r="C150" s="4"/>
      <c r="D150" s="4"/>
      <c r="E150" s="4"/>
      <c r="F150" s="4"/>
      <c r="G150" s="4"/>
      <c r="H150" s="12"/>
      <c r="I150" s="12"/>
      <c r="J150" s="12"/>
      <c r="K150" s="25"/>
      <c r="L150" s="4"/>
      <c r="M150" s="4"/>
    </row>
    <row r="151" ht="15.75" customHeight="1">
      <c r="A151" s="26"/>
      <c r="B151" s="4"/>
      <c r="C151" s="4"/>
      <c r="D151" s="4"/>
      <c r="E151" s="4"/>
      <c r="F151" s="4"/>
      <c r="G151" s="4"/>
      <c r="H151" s="12"/>
      <c r="I151" s="12"/>
      <c r="J151" s="12"/>
      <c r="K151" s="25"/>
      <c r="L151" s="4"/>
      <c r="M151" s="4"/>
    </row>
    <row r="152" ht="15.75" customHeight="1">
      <c r="A152" s="26"/>
      <c r="B152" s="4"/>
      <c r="C152" s="4"/>
      <c r="D152" s="4"/>
      <c r="E152" s="4"/>
      <c r="F152" s="4"/>
      <c r="G152" s="4"/>
      <c r="H152" s="12"/>
      <c r="I152" s="12"/>
      <c r="J152" s="12"/>
      <c r="K152" s="25"/>
      <c r="L152" s="4"/>
      <c r="M152" s="4"/>
    </row>
    <row r="153" ht="15.75" customHeight="1">
      <c r="A153" s="26"/>
      <c r="B153" s="4"/>
      <c r="C153" s="4"/>
      <c r="D153" s="4"/>
      <c r="E153" s="4"/>
      <c r="F153" s="4"/>
      <c r="G153" s="4"/>
      <c r="H153" s="12"/>
      <c r="I153" s="12"/>
      <c r="J153" s="12"/>
      <c r="K153" s="25"/>
      <c r="L153" s="4"/>
      <c r="M153" s="4"/>
    </row>
    <row r="154" ht="15.75" customHeight="1">
      <c r="A154" s="26"/>
      <c r="B154" s="4"/>
      <c r="C154" s="4"/>
      <c r="D154" s="4"/>
      <c r="E154" s="4"/>
      <c r="F154" s="4"/>
      <c r="G154" s="4"/>
      <c r="H154" s="12"/>
      <c r="I154" s="12"/>
      <c r="J154" s="12"/>
      <c r="K154" s="25"/>
      <c r="L154" s="4"/>
      <c r="M154" s="4"/>
    </row>
    <row r="155" ht="15.75" customHeight="1">
      <c r="A155" s="26"/>
      <c r="B155" s="4"/>
      <c r="C155" s="4"/>
      <c r="D155" s="4"/>
      <c r="E155" s="4"/>
      <c r="F155" s="4"/>
      <c r="G155" s="4"/>
      <c r="H155" s="12"/>
      <c r="I155" s="12"/>
      <c r="J155" s="12"/>
      <c r="K155" s="25"/>
      <c r="L155" s="4"/>
      <c r="M155" s="4"/>
    </row>
    <row r="156" ht="15.75" customHeight="1">
      <c r="A156" s="26"/>
      <c r="B156" s="4"/>
      <c r="C156" s="4"/>
      <c r="D156" s="4"/>
      <c r="E156" s="4"/>
      <c r="F156" s="4"/>
      <c r="G156" s="4"/>
      <c r="H156" s="12"/>
      <c r="I156" s="12"/>
      <c r="J156" s="12"/>
      <c r="K156" s="25"/>
      <c r="L156" s="4"/>
      <c r="M156" s="4"/>
    </row>
    <row r="157" ht="15.75" customHeight="1">
      <c r="A157" s="26"/>
      <c r="B157" s="4"/>
      <c r="C157" s="4"/>
      <c r="D157" s="4"/>
      <c r="E157" s="4"/>
      <c r="F157" s="4"/>
      <c r="G157" s="4"/>
      <c r="H157" s="12"/>
      <c r="I157" s="12"/>
      <c r="J157" s="12"/>
      <c r="K157" s="25"/>
      <c r="L157" s="4"/>
      <c r="M157" s="4"/>
    </row>
    <row r="158" ht="15.75" customHeight="1">
      <c r="A158" s="26"/>
      <c r="B158" s="4"/>
      <c r="C158" s="4"/>
      <c r="D158" s="4"/>
      <c r="E158" s="4"/>
      <c r="F158" s="4"/>
      <c r="G158" s="4"/>
      <c r="H158" s="12"/>
      <c r="I158" s="12"/>
      <c r="J158" s="12"/>
      <c r="K158" s="25"/>
      <c r="L158" s="4"/>
      <c r="M158" s="4"/>
    </row>
    <row r="159" ht="15.75" customHeight="1">
      <c r="A159" s="26"/>
      <c r="B159" s="4"/>
      <c r="C159" s="4"/>
      <c r="D159" s="4"/>
      <c r="E159" s="4"/>
      <c r="F159" s="4"/>
      <c r="G159" s="4"/>
      <c r="H159" s="12"/>
      <c r="I159" s="12"/>
      <c r="J159" s="12"/>
      <c r="K159" s="25"/>
      <c r="L159" s="4"/>
      <c r="M159" s="4"/>
    </row>
    <row r="160" ht="15.75" customHeight="1">
      <c r="A160" s="26"/>
      <c r="B160" s="4"/>
      <c r="C160" s="4"/>
      <c r="D160" s="4"/>
      <c r="E160" s="4"/>
      <c r="F160" s="4"/>
      <c r="G160" s="4"/>
      <c r="H160" s="12"/>
      <c r="I160" s="12"/>
      <c r="J160" s="12"/>
      <c r="K160" s="25"/>
      <c r="L160" s="4"/>
      <c r="M160" s="4"/>
    </row>
    <row r="161" ht="15.75" customHeight="1">
      <c r="A161" s="26"/>
      <c r="B161" s="4"/>
      <c r="C161" s="4"/>
      <c r="D161" s="4"/>
      <c r="E161" s="4"/>
      <c r="F161" s="4"/>
      <c r="G161" s="4"/>
      <c r="H161" s="12"/>
      <c r="I161" s="12"/>
      <c r="J161" s="12"/>
      <c r="K161" s="25"/>
      <c r="L161" s="4"/>
      <c r="M161" s="4"/>
    </row>
    <row r="162" ht="15.75" customHeight="1">
      <c r="A162" s="26"/>
      <c r="B162" s="4"/>
      <c r="C162" s="4"/>
      <c r="D162" s="4"/>
      <c r="E162" s="4"/>
      <c r="F162" s="4"/>
      <c r="G162" s="4"/>
      <c r="H162" s="12"/>
      <c r="I162" s="12"/>
      <c r="J162" s="12"/>
      <c r="K162" s="25"/>
      <c r="L162" s="4"/>
      <c r="M162" s="4"/>
    </row>
    <row r="163" ht="15.75" customHeight="1">
      <c r="A163" s="26"/>
      <c r="B163" s="4"/>
      <c r="C163" s="4"/>
      <c r="D163" s="4"/>
      <c r="E163" s="4"/>
      <c r="F163" s="4"/>
      <c r="G163" s="4"/>
      <c r="H163" s="12"/>
      <c r="I163" s="12"/>
      <c r="J163" s="12"/>
      <c r="K163" s="25"/>
      <c r="L163" s="4"/>
      <c r="M163" s="4"/>
    </row>
    <row r="164" ht="15.75" customHeight="1">
      <c r="A164" s="26"/>
      <c r="B164" s="4"/>
      <c r="C164" s="4"/>
      <c r="D164" s="4"/>
      <c r="E164" s="4"/>
      <c r="F164" s="4"/>
      <c r="G164" s="4"/>
      <c r="H164" s="12"/>
      <c r="I164" s="12"/>
      <c r="J164" s="12"/>
      <c r="K164" s="25"/>
      <c r="L164" s="4"/>
      <c r="M164" s="4"/>
    </row>
    <row r="165" ht="15.75" customHeight="1">
      <c r="A165" s="26"/>
      <c r="B165" s="4"/>
      <c r="C165" s="4"/>
      <c r="D165" s="4"/>
      <c r="E165" s="4"/>
      <c r="F165" s="4"/>
      <c r="G165" s="4"/>
      <c r="H165" s="12"/>
      <c r="I165" s="12"/>
      <c r="J165" s="12"/>
      <c r="K165" s="25"/>
      <c r="L165" s="4"/>
      <c r="M165" s="4"/>
    </row>
    <row r="166" ht="15.75" customHeight="1">
      <c r="A166" s="26"/>
      <c r="B166" s="4"/>
      <c r="C166" s="4"/>
      <c r="D166" s="4"/>
      <c r="E166" s="4"/>
      <c r="F166" s="4"/>
      <c r="G166" s="4"/>
      <c r="H166" s="12"/>
      <c r="I166" s="12"/>
      <c r="J166" s="12"/>
      <c r="K166" s="25"/>
      <c r="L166" s="4"/>
      <c r="M166" s="4"/>
    </row>
    <row r="167" ht="15.75" customHeight="1">
      <c r="A167" s="26"/>
      <c r="B167" s="4"/>
      <c r="C167" s="4"/>
      <c r="D167" s="4"/>
      <c r="E167" s="4"/>
      <c r="F167" s="4"/>
      <c r="G167" s="4"/>
      <c r="H167" s="12"/>
      <c r="I167" s="12"/>
      <c r="J167" s="12"/>
      <c r="K167" s="25"/>
      <c r="L167" s="4"/>
      <c r="M167" s="4"/>
    </row>
    <row r="168" ht="15.75" customHeight="1">
      <c r="A168" s="26"/>
      <c r="B168" s="4"/>
      <c r="C168" s="4"/>
      <c r="D168" s="4"/>
      <c r="E168" s="4"/>
      <c r="F168" s="4"/>
      <c r="G168" s="4"/>
      <c r="H168" s="12"/>
      <c r="I168" s="12"/>
      <c r="J168" s="12"/>
      <c r="K168" s="25"/>
      <c r="L168" s="4"/>
      <c r="M168" s="4"/>
    </row>
    <row r="169" ht="15.75" customHeight="1">
      <c r="A169" s="26"/>
      <c r="B169" s="4"/>
      <c r="C169" s="4"/>
      <c r="D169" s="4"/>
      <c r="E169" s="4"/>
      <c r="F169" s="4"/>
      <c r="G169" s="4"/>
      <c r="H169" s="12"/>
      <c r="I169" s="12"/>
      <c r="J169" s="12"/>
      <c r="K169" s="25"/>
      <c r="L169" s="4"/>
      <c r="M169" s="4"/>
    </row>
    <row r="170" ht="15.75" customHeight="1">
      <c r="A170" s="26"/>
      <c r="B170" s="4"/>
      <c r="C170" s="4"/>
      <c r="D170" s="4"/>
      <c r="E170" s="4"/>
      <c r="F170" s="4"/>
      <c r="G170" s="4"/>
      <c r="H170" s="12"/>
      <c r="I170" s="12"/>
      <c r="J170" s="12"/>
      <c r="K170" s="25"/>
      <c r="L170" s="4"/>
      <c r="M170" s="4"/>
    </row>
    <row r="171" ht="15.75" customHeight="1">
      <c r="A171" s="26"/>
      <c r="B171" s="4"/>
      <c r="C171" s="4"/>
      <c r="D171" s="4"/>
      <c r="E171" s="4"/>
      <c r="F171" s="4"/>
      <c r="G171" s="4"/>
      <c r="H171" s="12"/>
      <c r="I171" s="12"/>
      <c r="J171" s="12"/>
      <c r="K171" s="25"/>
      <c r="L171" s="4"/>
      <c r="M171" s="4"/>
    </row>
    <row r="172" ht="15.75" customHeight="1">
      <c r="A172" s="26"/>
      <c r="B172" s="4"/>
      <c r="C172" s="4"/>
      <c r="D172" s="4"/>
      <c r="E172" s="4"/>
      <c r="F172" s="4"/>
      <c r="G172" s="4"/>
      <c r="H172" s="12"/>
      <c r="I172" s="12"/>
      <c r="J172" s="12"/>
      <c r="K172" s="25"/>
      <c r="L172" s="4"/>
      <c r="M172" s="4"/>
    </row>
    <row r="173" ht="15.75" customHeight="1">
      <c r="A173" s="26"/>
      <c r="B173" s="4"/>
      <c r="C173" s="4"/>
      <c r="D173" s="4"/>
      <c r="E173" s="4"/>
      <c r="F173" s="4"/>
      <c r="G173" s="4"/>
      <c r="H173" s="12"/>
      <c r="I173" s="12"/>
      <c r="J173" s="12"/>
      <c r="K173" s="25"/>
      <c r="L173" s="4"/>
      <c r="M173" s="4"/>
    </row>
    <row r="174" ht="15.75" customHeight="1">
      <c r="A174" s="26"/>
      <c r="B174" s="4"/>
      <c r="C174" s="4"/>
      <c r="D174" s="4"/>
      <c r="E174" s="4"/>
      <c r="F174" s="4"/>
      <c r="G174" s="4"/>
      <c r="H174" s="12"/>
      <c r="I174" s="12"/>
      <c r="J174" s="12"/>
      <c r="K174" s="25"/>
      <c r="L174" s="4"/>
      <c r="M174" s="4"/>
    </row>
    <row r="175" ht="15.75" customHeight="1">
      <c r="A175" s="26"/>
      <c r="B175" s="4"/>
      <c r="C175" s="4"/>
      <c r="D175" s="4"/>
      <c r="E175" s="4"/>
      <c r="F175" s="4"/>
      <c r="G175" s="4"/>
      <c r="H175" s="12"/>
      <c r="I175" s="12"/>
      <c r="J175" s="12"/>
      <c r="K175" s="25"/>
      <c r="L175" s="4"/>
      <c r="M175" s="4"/>
    </row>
    <row r="176" ht="15.75" customHeight="1">
      <c r="A176" s="26"/>
      <c r="B176" s="4"/>
      <c r="C176" s="4"/>
      <c r="D176" s="4"/>
      <c r="E176" s="4"/>
      <c r="F176" s="4"/>
      <c r="G176" s="4"/>
      <c r="H176" s="12"/>
      <c r="I176" s="12"/>
      <c r="J176" s="12"/>
      <c r="K176" s="25"/>
      <c r="L176" s="4"/>
      <c r="M176" s="4"/>
    </row>
    <row r="177" ht="15.75" customHeight="1">
      <c r="A177" s="26"/>
      <c r="B177" s="4"/>
      <c r="C177" s="4"/>
      <c r="D177" s="4"/>
      <c r="E177" s="4"/>
      <c r="F177" s="4"/>
      <c r="G177" s="4"/>
      <c r="H177" s="12"/>
      <c r="I177" s="12"/>
      <c r="J177" s="12"/>
      <c r="K177" s="25"/>
      <c r="L177" s="4"/>
      <c r="M177" s="4"/>
    </row>
    <row r="178" ht="15.75" customHeight="1">
      <c r="A178" s="26"/>
      <c r="B178" s="4"/>
      <c r="C178" s="4"/>
      <c r="D178" s="4"/>
      <c r="E178" s="4"/>
      <c r="F178" s="4"/>
      <c r="G178" s="4"/>
      <c r="H178" s="12"/>
      <c r="I178" s="12"/>
      <c r="J178" s="12"/>
      <c r="K178" s="25"/>
      <c r="L178" s="4"/>
      <c r="M178" s="4"/>
    </row>
    <row r="179" ht="15.75" customHeight="1">
      <c r="A179" s="26"/>
      <c r="B179" s="4"/>
      <c r="C179" s="4"/>
      <c r="D179" s="4"/>
      <c r="E179" s="4"/>
      <c r="F179" s="4"/>
      <c r="G179" s="4"/>
      <c r="H179" s="12"/>
      <c r="I179" s="12"/>
      <c r="J179" s="12"/>
      <c r="K179" s="25"/>
      <c r="L179" s="4"/>
      <c r="M179" s="4"/>
    </row>
    <row r="180" ht="15.75" customHeight="1">
      <c r="A180" s="26"/>
      <c r="B180" s="4"/>
      <c r="C180" s="4"/>
      <c r="D180" s="4"/>
      <c r="E180" s="4"/>
      <c r="F180" s="4"/>
      <c r="G180" s="4"/>
      <c r="H180" s="12"/>
      <c r="I180" s="12"/>
      <c r="J180" s="12"/>
      <c r="K180" s="25"/>
      <c r="L180" s="4"/>
      <c r="M180" s="4"/>
    </row>
    <row r="181" ht="15.75" customHeight="1">
      <c r="A181" s="26"/>
      <c r="B181" s="4"/>
      <c r="C181" s="4"/>
      <c r="D181" s="4"/>
      <c r="E181" s="4"/>
      <c r="F181" s="4"/>
      <c r="G181" s="4"/>
      <c r="H181" s="12"/>
      <c r="I181" s="12"/>
      <c r="J181" s="12"/>
      <c r="K181" s="25"/>
      <c r="L181" s="4"/>
      <c r="M181" s="4"/>
    </row>
    <row r="182" ht="15.75" customHeight="1">
      <c r="A182" s="26"/>
      <c r="B182" s="4"/>
      <c r="C182" s="4"/>
      <c r="D182" s="4"/>
      <c r="E182" s="4"/>
      <c r="F182" s="4"/>
      <c r="G182" s="4"/>
      <c r="H182" s="12"/>
      <c r="I182" s="12"/>
      <c r="J182" s="12"/>
      <c r="K182" s="25"/>
      <c r="L182" s="4"/>
      <c r="M182" s="4"/>
    </row>
    <row r="183" ht="15.75" customHeight="1">
      <c r="A183" s="26"/>
      <c r="B183" s="4"/>
      <c r="C183" s="4"/>
      <c r="D183" s="4"/>
      <c r="E183" s="4"/>
      <c r="F183" s="4"/>
      <c r="G183" s="4"/>
      <c r="H183" s="12"/>
      <c r="I183" s="12"/>
      <c r="J183" s="12"/>
      <c r="K183" s="25"/>
      <c r="L183" s="4"/>
      <c r="M183" s="4"/>
    </row>
    <row r="184" ht="15.75" customHeight="1">
      <c r="A184" s="26"/>
      <c r="B184" s="4"/>
      <c r="C184" s="4"/>
      <c r="D184" s="4"/>
      <c r="E184" s="4"/>
      <c r="F184" s="4"/>
      <c r="G184" s="4"/>
      <c r="H184" s="12"/>
      <c r="I184" s="12"/>
      <c r="J184" s="12"/>
      <c r="K184" s="25"/>
      <c r="L184" s="4"/>
      <c r="M184" s="4"/>
    </row>
    <row r="185" ht="15.75" customHeight="1">
      <c r="A185" s="26"/>
      <c r="B185" s="4"/>
      <c r="C185" s="4"/>
      <c r="D185" s="4"/>
      <c r="E185" s="4"/>
      <c r="F185" s="4"/>
      <c r="G185" s="4"/>
      <c r="H185" s="12"/>
      <c r="I185" s="12"/>
      <c r="J185" s="12"/>
      <c r="K185" s="25"/>
      <c r="L185" s="4"/>
      <c r="M185" s="4"/>
    </row>
    <row r="186" ht="15.75" customHeight="1">
      <c r="A186" s="26"/>
      <c r="B186" s="4"/>
      <c r="C186" s="4"/>
      <c r="D186" s="4"/>
      <c r="E186" s="4"/>
      <c r="F186" s="4"/>
      <c r="G186" s="4"/>
      <c r="H186" s="12"/>
      <c r="I186" s="12"/>
      <c r="J186" s="12"/>
      <c r="K186" s="25"/>
      <c r="L186" s="4"/>
      <c r="M186" s="4"/>
    </row>
    <row r="187" ht="15.75" customHeight="1">
      <c r="A187" s="26"/>
      <c r="B187" s="4"/>
      <c r="C187" s="4"/>
      <c r="D187" s="4"/>
      <c r="E187" s="4"/>
      <c r="F187" s="4"/>
      <c r="G187" s="4"/>
      <c r="H187" s="12"/>
      <c r="I187" s="12"/>
      <c r="J187" s="12"/>
      <c r="K187" s="25"/>
      <c r="L187" s="4"/>
      <c r="M187" s="4"/>
    </row>
    <row r="188" ht="15.75" customHeight="1">
      <c r="A188" s="26"/>
      <c r="B188" s="4"/>
      <c r="C188" s="4"/>
      <c r="D188" s="4"/>
      <c r="E188" s="4"/>
      <c r="F188" s="4"/>
      <c r="G188" s="4"/>
      <c r="H188" s="12"/>
      <c r="I188" s="12"/>
      <c r="J188" s="12"/>
      <c r="K188" s="25"/>
      <c r="L188" s="4"/>
      <c r="M188" s="4"/>
    </row>
    <row r="189" ht="15.75" customHeight="1">
      <c r="A189" s="26"/>
      <c r="B189" s="4"/>
      <c r="C189" s="4"/>
      <c r="D189" s="4"/>
      <c r="E189" s="4"/>
      <c r="F189" s="4"/>
      <c r="G189" s="4"/>
      <c r="H189" s="12"/>
      <c r="I189" s="12"/>
      <c r="J189" s="12"/>
      <c r="K189" s="25"/>
      <c r="L189" s="4"/>
      <c r="M189" s="4"/>
    </row>
    <row r="190" ht="15.75" customHeight="1">
      <c r="A190" s="26"/>
      <c r="B190" s="4"/>
      <c r="C190" s="4"/>
      <c r="D190" s="4"/>
      <c r="E190" s="4"/>
      <c r="F190" s="4"/>
      <c r="G190" s="4"/>
      <c r="H190" s="12"/>
      <c r="I190" s="12"/>
      <c r="J190" s="12"/>
      <c r="K190" s="25"/>
      <c r="L190" s="4"/>
      <c r="M190" s="4"/>
    </row>
    <row r="191" ht="15.75" customHeight="1">
      <c r="A191" s="26"/>
      <c r="B191" s="4"/>
      <c r="C191" s="4"/>
      <c r="D191" s="4"/>
      <c r="E191" s="4"/>
      <c r="F191" s="4"/>
      <c r="G191" s="4"/>
      <c r="H191" s="12"/>
      <c r="I191" s="12"/>
      <c r="J191" s="12"/>
      <c r="K191" s="25"/>
      <c r="L191" s="4"/>
      <c r="M191" s="4"/>
    </row>
    <row r="192" ht="15.75" customHeight="1">
      <c r="A192" s="26"/>
      <c r="B192" s="4"/>
      <c r="C192" s="4"/>
      <c r="D192" s="4"/>
      <c r="E192" s="4"/>
      <c r="F192" s="4"/>
      <c r="G192" s="4"/>
      <c r="H192" s="12"/>
      <c r="I192" s="12"/>
      <c r="J192" s="12"/>
      <c r="K192" s="25"/>
      <c r="L192" s="4"/>
      <c r="M192" s="4"/>
    </row>
    <row r="193" ht="15.75" customHeight="1">
      <c r="A193" s="26"/>
      <c r="B193" s="4"/>
      <c r="C193" s="4"/>
      <c r="D193" s="4"/>
      <c r="E193" s="4"/>
      <c r="F193" s="4"/>
      <c r="G193" s="4"/>
      <c r="H193" s="12"/>
      <c r="I193" s="12"/>
      <c r="J193" s="12"/>
      <c r="K193" s="25"/>
      <c r="L193" s="4"/>
      <c r="M193" s="4"/>
    </row>
    <row r="194" ht="15.75" customHeight="1">
      <c r="A194" s="26"/>
      <c r="B194" s="4"/>
      <c r="C194" s="4"/>
      <c r="D194" s="4"/>
      <c r="E194" s="4"/>
      <c r="F194" s="4"/>
      <c r="G194" s="4"/>
      <c r="H194" s="12"/>
      <c r="I194" s="12"/>
      <c r="J194" s="12"/>
      <c r="K194" s="25"/>
      <c r="L194" s="4"/>
      <c r="M194" s="4"/>
    </row>
    <row r="195" ht="15.75" customHeight="1">
      <c r="A195" s="26"/>
      <c r="B195" s="4"/>
      <c r="C195" s="4"/>
      <c r="D195" s="4"/>
      <c r="E195" s="4"/>
      <c r="F195" s="4"/>
      <c r="G195" s="4"/>
      <c r="H195" s="12"/>
      <c r="I195" s="12"/>
      <c r="J195" s="12"/>
      <c r="K195" s="25"/>
      <c r="L195" s="4"/>
      <c r="M195" s="4"/>
    </row>
    <row r="196" ht="15.75" customHeight="1">
      <c r="A196" s="26"/>
      <c r="B196" s="4"/>
      <c r="C196" s="4"/>
      <c r="D196" s="4"/>
      <c r="E196" s="4"/>
      <c r="F196" s="4"/>
      <c r="G196" s="4"/>
      <c r="H196" s="12"/>
      <c r="I196" s="12"/>
      <c r="J196" s="12"/>
      <c r="K196" s="25"/>
      <c r="L196" s="4"/>
      <c r="M196" s="4"/>
    </row>
    <row r="197" ht="15.75" customHeight="1">
      <c r="A197" s="26"/>
      <c r="B197" s="4"/>
      <c r="C197" s="4"/>
      <c r="D197" s="4"/>
      <c r="E197" s="4"/>
      <c r="F197" s="4"/>
      <c r="G197" s="4"/>
      <c r="H197" s="12"/>
      <c r="I197" s="12"/>
      <c r="J197" s="12"/>
      <c r="K197" s="25"/>
      <c r="L197" s="4"/>
      <c r="M197" s="4"/>
    </row>
    <row r="198" ht="15.75" customHeight="1">
      <c r="A198" s="26"/>
      <c r="B198" s="4"/>
      <c r="C198" s="4"/>
      <c r="D198" s="4"/>
      <c r="E198" s="4"/>
      <c r="F198" s="4"/>
      <c r="G198" s="4"/>
      <c r="H198" s="12"/>
      <c r="I198" s="12"/>
      <c r="J198" s="12"/>
      <c r="K198" s="25"/>
      <c r="L198" s="4"/>
      <c r="M198" s="4"/>
    </row>
    <row r="199" ht="15.75" customHeight="1">
      <c r="A199" s="26"/>
      <c r="B199" s="4"/>
      <c r="C199" s="4"/>
      <c r="D199" s="4"/>
      <c r="E199" s="4"/>
      <c r="F199" s="4"/>
      <c r="G199" s="4"/>
      <c r="H199" s="12"/>
      <c r="I199" s="12"/>
      <c r="J199" s="12"/>
      <c r="K199" s="25"/>
      <c r="L199" s="4"/>
      <c r="M199" s="4"/>
    </row>
    <row r="200" ht="15.75" customHeight="1">
      <c r="A200" s="26"/>
      <c r="B200" s="4"/>
      <c r="C200" s="4"/>
      <c r="D200" s="4"/>
      <c r="E200" s="4"/>
      <c r="F200" s="4"/>
      <c r="G200" s="4"/>
      <c r="H200" s="12"/>
      <c r="I200" s="12"/>
      <c r="J200" s="12"/>
      <c r="K200" s="25"/>
      <c r="L200" s="4"/>
      <c r="M200" s="4"/>
    </row>
    <row r="201" ht="15.75" customHeight="1">
      <c r="A201" s="26"/>
      <c r="B201" s="4"/>
      <c r="C201" s="4"/>
      <c r="D201" s="4"/>
      <c r="E201" s="4"/>
      <c r="F201" s="4"/>
      <c r="G201" s="4"/>
      <c r="H201" s="12"/>
      <c r="I201" s="12"/>
      <c r="J201" s="12"/>
      <c r="K201" s="25"/>
      <c r="L201" s="4"/>
      <c r="M201" s="4"/>
    </row>
    <row r="202" ht="15.75" customHeight="1">
      <c r="A202" s="26"/>
      <c r="B202" s="4"/>
      <c r="C202" s="4"/>
      <c r="D202" s="4"/>
      <c r="E202" s="4"/>
      <c r="F202" s="4"/>
      <c r="G202" s="4"/>
      <c r="H202" s="12"/>
      <c r="I202" s="12"/>
      <c r="J202" s="12"/>
      <c r="K202" s="25"/>
      <c r="L202" s="4"/>
      <c r="M202" s="4"/>
    </row>
    <row r="203" ht="15.75" customHeight="1">
      <c r="A203" s="26"/>
      <c r="B203" s="4"/>
      <c r="C203" s="4"/>
      <c r="D203" s="4"/>
      <c r="E203" s="4"/>
      <c r="F203" s="4"/>
      <c r="G203" s="4"/>
      <c r="H203" s="12"/>
      <c r="I203" s="12"/>
      <c r="J203" s="12"/>
      <c r="K203" s="25"/>
      <c r="L203" s="4"/>
      <c r="M203" s="4"/>
    </row>
    <row r="204" ht="15.75" customHeight="1">
      <c r="A204" s="26"/>
      <c r="B204" s="4"/>
      <c r="C204" s="4"/>
      <c r="D204" s="4"/>
      <c r="E204" s="4"/>
      <c r="F204" s="4"/>
      <c r="G204" s="4"/>
      <c r="H204" s="12"/>
      <c r="I204" s="12"/>
      <c r="J204" s="12"/>
      <c r="K204" s="25"/>
      <c r="L204" s="4"/>
      <c r="M204" s="4"/>
    </row>
    <row r="205" ht="15.75" customHeight="1">
      <c r="A205" s="26"/>
      <c r="B205" s="4"/>
      <c r="C205" s="4"/>
      <c r="D205" s="4"/>
      <c r="E205" s="4"/>
      <c r="F205" s="4"/>
      <c r="G205" s="4"/>
      <c r="H205" s="12"/>
      <c r="I205" s="12"/>
      <c r="J205" s="12"/>
      <c r="K205" s="25"/>
      <c r="L205" s="4"/>
      <c r="M205" s="4"/>
    </row>
    <row r="206" ht="15.75" customHeight="1">
      <c r="A206" s="26"/>
      <c r="B206" s="4"/>
      <c r="C206" s="4"/>
      <c r="D206" s="4"/>
      <c r="E206" s="4"/>
      <c r="F206" s="4"/>
      <c r="G206" s="4"/>
      <c r="H206" s="12"/>
      <c r="I206" s="12"/>
      <c r="J206" s="12"/>
      <c r="K206" s="25"/>
      <c r="L206" s="4"/>
      <c r="M206" s="4"/>
    </row>
    <row r="207" ht="15.75" customHeight="1">
      <c r="A207" s="26"/>
      <c r="B207" s="4"/>
      <c r="C207" s="4"/>
      <c r="D207" s="4"/>
      <c r="E207" s="4"/>
      <c r="F207" s="4"/>
      <c r="G207" s="4"/>
      <c r="H207" s="12"/>
      <c r="I207" s="12"/>
      <c r="J207" s="12"/>
      <c r="K207" s="25"/>
      <c r="L207" s="4"/>
      <c r="M207" s="4"/>
    </row>
    <row r="208" ht="15.75" customHeight="1">
      <c r="A208" s="26"/>
      <c r="B208" s="4"/>
      <c r="C208" s="4"/>
      <c r="D208" s="4"/>
      <c r="E208" s="4"/>
      <c r="F208" s="4"/>
      <c r="G208" s="4"/>
      <c r="H208" s="12"/>
      <c r="I208" s="12"/>
      <c r="J208" s="12"/>
      <c r="K208" s="25"/>
      <c r="L208" s="4"/>
      <c r="M208" s="4"/>
    </row>
    <row r="209" ht="15.75" customHeight="1">
      <c r="A209" s="26"/>
      <c r="B209" s="4"/>
      <c r="C209" s="4"/>
      <c r="D209" s="4"/>
      <c r="E209" s="4"/>
      <c r="F209" s="4"/>
      <c r="G209" s="4"/>
      <c r="H209" s="12"/>
      <c r="I209" s="12"/>
      <c r="J209" s="12"/>
      <c r="K209" s="25"/>
      <c r="L209" s="4"/>
      <c r="M209" s="4"/>
    </row>
    <row r="210" ht="15.75" customHeight="1">
      <c r="A210" s="26"/>
      <c r="B210" s="4"/>
      <c r="C210" s="4"/>
      <c r="D210" s="4"/>
      <c r="E210" s="4"/>
      <c r="F210" s="4"/>
      <c r="G210" s="4"/>
      <c r="H210" s="12"/>
      <c r="I210" s="12"/>
      <c r="J210" s="12"/>
      <c r="K210" s="25"/>
      <c r="L210" s="4"/>
      <c r="M210" s="4"/>
    </row>
    <row r="211" ht="15.75" customHeight="1">
      <c r="A211" s="26"/>
      <c r="B211" s="4"/>
      <c r="C211" s="4"/>
      <c r="D211" s="4"/>
      <c r="E211" s="4"/>
      <c r="F211" s="4"/>
      <c r="G211" s="4"/>
      <c r="H211" s="12"/>
      <c r="I211" s="12"/>
      <c r="J211" s="12"/>
      <c r="K211" s="25"/>
      <c r="L211" s="4"/>
      <c r="M211" s="4"/>
    </row>
    <row r="212" ht="15.75" customHeight="1">
      <c r="A212" s="26"/>
      <c r="B212" s="4"/>
      <c r="C212" s="4"/>
      <c r="D212" s="4"/>
      <c r="E212" s="4"/>
      <c r="F212" s="4"/>
      <c r="G212" s="4"/>
      <c r="H212" s="12"/>
      <c r="I212" s="12"/>
      <c r="J212" s="12"/>
      <c r="K212" s="25"/>
      <c r="L212" s="4"/>
      <c r="M212" s="4"/>
    </row>
    <row r="213" ht="15.75" customHeight="1">
      <c r="A213" s="26"/>
      <c r="B213" s="4"/>
      <c r="C213" s="4"/>
      <c r="D213" s="4"/>
      <c r="E213" s="4"/>
      <c r="F213" s="4"/>
      <c r="G213" s="4"/>
      <c r="H213" s="12"/>
      <c r="I213" s="12"/>
      <c r="J213" s="12"/>
      <c r="K213" s="25"/>
      <c r="L213" s="4"/>
      <c r="M213" s="4"/>
    </row>
    <row r="214" ht="15.75" customHeight="1">
      <c r="A214" s="26"/>
      <c r="B214" s="4"/>
      <c r="C214" s="4"/>
      <c r="D214" s="4"/>
      <c r="E214" s="4"/>
      <c r="F214" s="4"/>
      <c r="G214" s="4"/>
      <c r="H214" s="12"/>
      <c r="I214" s="12"/>
      <c r="J214" s="12"/>
      <c r="K214" s="25"/>
      <c r="L214" s="4"/>
      <c r="M214" s="4"/>
    </row>
    <row r="215" ht="15.75" customHeight="1">
      <c r="A215" s="26"/>
      <c r="B215" s="4"/>
      <c r="C215" s="4"/>
      <c r="D215" s="4"/>
      <c r="E215" s="4"/>
      <c r="F215" s="4"/>
      <c r="G215" s="4"/>
      <c r="H215" s="12"/>
      <c r="I215" s="12"/>
      <c r="J215" s="12"/>
      <c r="K215" s="25"/>
      <c r="L215" s="4"/>
      <c r="M215" s="4"/>
    </row>
    <row r="216" ht="15.75" customHeight="1">
      <c r="A216" s="26"/>
      <c r="B216" s="4"/>
      <c r="C216" s="4"/>
      <c r="D216" s="4"/>
      <c r="E216" s="4"/>
      <c r="F216" s="4"/>
      <c r="G216" s="4"/>
      <c r="H216" s="12"/>
      <c r="I216" s="12"/>
      <c r="J216" s="12"/>
      <c r="K216" s="25"/>
      <c r="L216" s="4"/>
      <c r="M216" s="4"/>
    </row>
    <row r="217" ht="15.75" customHeight="1">
      <c r="A217" s="26"/>
      <c r="B217" s="4"/>
      <c r="C217" s="4"/>
      <c r="D217" s="4"/>
      <c r="E217" s="4"/>
      <c r="F217" s="4"/>
      <c r="G217" s="4"/>
      <c r="H217" s="12"/>
      <c r="I217" s="12"/>
      <c r="J217" s="12"/>
      <c r="K217" s="25"/>
      <c r="L217" s="4"/>
      <c r="M217" s="4"/>
    </row>
    <row r="218" ht="15.75" customHeight="1">
      <c r="A218" s="26"/>
      <c r="B218" s="4"/>
      <c r="C218" s="4"/>
      <c r="D218" s="4"/>
      <c r="E218" s="4"/>
      <c r="F218" s="4"/>
      <c r="G218" s="4"/>
      <c r="H218" s="12"/>
      <c r="I218" s="12"/>
      <c r="J218" s="12"/>
      <c r="K218" s="25"/>
      <c r="L218" s="4"/>
      <c r="M218" s="4"/>
    </row>
    <row r="219" ht="15.75" customHeight="1">
      <c r="A219" s="26"/>
      <c r="B219" s="4"/>
      <c r="C219" s="4"/>
      <c r="D219" s="4"/>
      <c r="E219" s="4"/>
      <c r="F219" s="4"/>
      <c r="G219" s="4"/>
      <c r="H219" s="12"/>
      <c r="I219" s="12"/>
      <c r="J219" s="12"/>
      <c r="K219" s="25"/>
      <c r="L219" s="4"/>
      <c r="M219" s="4"/>
    </row>
    <row r="220" ht="15.75" customHeight="1">
      <c r="A220" s="26"/>
      <c r="B220" s="4"/>
      <c r="C220" s="4"/>
      <c r="D220" s="4"/>
      <c r="E220" s="4"/>
      <c r="F220" s="4"/>
      <c r="G220" s="4"/>
      <c r="H220" s="12"/>
      <c r="I220" s="12"/>
      <c r="J220" s="12"/>
      <c r="K220" s="25"/>
      <c r="L220" s="4"/>
      <c r="M220" s="4"/>
    </row>
    <row r="221" ht="15.75" customHeight="1">
      <c r="A221" s="26"/>
      <c r="B221" s="4"/>
      <c r="C221" s="4"/>
      <c r="D221" s="4"/>
      <c r="E221" s="4"/>
      <c r="F221" s="4"/>
      <c r="G221" s="4"/>
      <c r="H221" s="12"/>
      <c r="I221" s="12"/>
      <c r="J221" s="12"/>
      <c r="K221" s="25"/>
      <c r="L221" s="4"/>
      <c r="M221" s="4"/>
    </row>
    <row r="222" ht="15.75" customHeight="1">
      <c r="A222" s="26"/>
      <c r="B222" s="4"/>
      <c r="C222" s="4"/>
      <c r="D222" s="4"/>
      <c r="E222" s="4"/>
      <c r="F222" s="4"/>
      <c r="G222" s="4"/>
      <c r="H222" s="12"/>
      <c r="I222" s="12"/>
      <c r="J222" s="12"/>
      <c r="K222" s="25"/>
      <c r="L222" s="4"/>
      <c r="M222" s="4"/>
    </row>
    <row r="223" ht="15.75" customHeight="1">
      <c r="A223" s="26"/>
      <c r="B223" s="4"/>
      <c r="C223" s="4"/>
      <c r="D223" s="4"/>
      <c r="E223" s="4"/>
      <c r="F223" s="4"/>
      <c r="G223" s="4"/>
      <c r="H223" s="12"/>
      <c r="I223" s="12"/>
      <c r="J223" s="12"/>
      <c r="K223" s="25"/>
      <c r="L223" s="4"/>
      <c r="M223" s="4"/>
    </row>
    <row r="224" ht="15.75" customHeight="1">
      <c r="A224" s="26"/>
      <c r="B224" s="4"/>
      <c r="C224" s="4"/>
      <c r="D224" s="4"/>
      <c r="E224" s="4"/>
      <c r="F224" s="4"/>
      <c r="G224" s="4"/>
      <c r="H224" s="12"/>
      <c r="I224" s="12"/>
      <c r="J224" s="12"/>
      <c r="K224" s="25"/>
      <c r="L224" s="4"/>
      <c r="M224" s="4"/>
    </row>
    <row r="225" ht="15.75" customHeight="1">
      <c r="A225" s="26"/>
      <c r="B225" s="4"/>
      <c r="C225" s="4"/>
      <c r="D225" s="4"/>
      <c r="E225" s="4"/>
      <c r="F225" s="4"/>
      <c r="G225" s="4"/>
      <c r="H225" s="12"/>
      <c r="I225" s="12"/>
      <c r="J225" s="12"/>
      <c r="K225" s="25"/>
      <c r="L225" s="4"/>
      <c r="M225" s="4"/>
    </row>
    <row r="226" ht="15.75" customHeight="1">
      <c r="A226" s="26"/>
      <c r="B226" s="4"/>
      <c r="C226" s="4"/>
      <c r="D226" s="4"/>
      <c r="E226" s="4"/>
      <c r="F226" s="4"/>
      <c r="G226" s="4"/>
      <c r="H226" s="12"/>
      <c r="I226" s="12"/>
      <c r="J226" s="12"/>
      <c r="K226" s="25"/>
      <c r="L226" s="4"/>
      <c r="M226" s="4"/>
    </row>
    <row r="227" ht="15.75" customHeight="1">
      <c r="A227" s="26"/>
      <c r="B227" s="4"/>
      <c r="C227" s="4"/>
      <c r="D227" s="4"/>
      <c r="E227" s="4"/>
      <c r="F227" s="4"/>
      <c r="G227" s="4"/>
      <c r="H227" s="12"/>
      <c r="I227" s="12"/>
      <c r="J227" s="12"/>
      <c r="K227" s="25"/>
      <c r="L227" s="4"/>
      <c r="M227" s="4"/>
    </row>
    <row r="228" ht="15.75" customHeight="1">
      <c r="A228" s="26"/>
      <c r="B228" s="4"/>
      <c r="C228" s="4"/>
      <c r="D228" s="4"/>
      <c r="E228" s="4"/>
      <c r="F228" s="4"/>
      <c r="G228" s="4"/>
      <c r="H228" s="12"/>
      <c r="I228" s="12"/>
      <c r="J228" s="12"/>
      <c r="K228" s="25"/>
      <c r="L228" s="4"/>
      <c r="M228" s="4"/>
    </row>
    <row r="229" ht="15.75" customHeight="1">
      <c r="A229" s="26"/>
      <c r="B229" s="4"/>
      <c r="C229" s="4"/>
      <c r="D229" s="4"/>
      <c r="E229" s="4"/>
      <c r="F229" s="4"/>
      <c r="G229" s="4"/>
      <c r="H229" s="12"/>
      <c r="I229" s="12"/>
      <c r="J229" s="12"/>
      <c r="K229" s="25"/>
      <c r="L229" s="4"/>
      <c r="M229" s="4"/>
    </row>
    <row r="230" ht="15.75" customHeight="1">
      <c r="A230" s="26"/>
      <c r="B230" s="4"/>
      <c r="C230" s="4"/>
      <c r="D230" s="4"/>
      <c r="E230" s="4"/>
      <c r="F230" s="4"/>
      <c r="G230" s="4"/>
      <c r="H230" s="12"/>
      <c r="I230" s="12"/>
      <c r="J230" s="12"/>
      <c r="K230" s="25"/>
      <c r="L230" s="4"/>
      <c r="M230" s="4"/>
    </row>
    <row r="231" ht="15.75" customHeight="1">
      <c r="A231" s="26"/>
      <c r="B231" s="4"/>
      <c r="C231" s="4"/>
      <c r="D231" s="4"/>
      <c r="E231" s="4"/>
      <c r="F231" s="4"/>
      <c r="G231" s="4"/>
      <c r="H231" s="12"/>
      <c r="I231" s="12"/>
      <c r="J231" s="12"/>
      <c r="K231" s="25"/>
      <c r="L231" s="4"/>
      <c r="M231" s="4"/>
    </row>
    <row r="232" ht="15.75" customHeight="1">
      <c r="A232" s="26"/>
      <c r="B232" s="4"/>
      <c r="C232" s="4"/>
      <c r="D232" s="4"/>
      <c r="E232" s="4"/>
      <c r="F232" s="4"/>
      <c r="G232" s="4"/>
      <c r="H232" s="12"/>
      <c r="I232" s="12"/>
      <c r="J232" s="12"/>
      <c r="K232" s="25"/>
      <c r="L232" s="4"/>
      <c r="M232" s="4"/>
    </row>
    <row r="233" ht="15.75" customHeight="1">
      <c r="A233" s="26"/>
      <c r="B233" s="4"/>
      <c r="C233" s="4"/>
      <c r="D233" s="4"/>
      <c r="E233" s="4"/>
      <c r="F233" s="4"/>
      <c r="G233" s="4"/>
      <c r="H233" s="12"/>
      <c r="I233" s="12"/>
      <c r="J233" s="12"/>
      <c r="K233" s="25"/>
      <c r="L233" s="4"/>
      <c r="M233" s="4"/>
    </row>
    <row r="234" ht="15.75" customHeight="1">
      <c r="A234" s="26"/>
      <c r="B234" s="4"/>
      <c r="C234" s="4"/>
      <c r="D234" s="4"/>
      <c r="E234" s="4"/>
      <c r="F234" s="4"/>
      <c r="G234" s="4"/>
      <c r="H234" s="12"/>
      <c r="I234" s="12"/>
      <c r="J234" s="12"/>
      <c r="K234" s="25"/>
      <c r="L234" s="4"/>
      <c r="M234" s="4"/>
    </row>
    <row r="235" ht="15.75" customHeight="1">
      <c r="A235" s="26"/>
      <c r="B235" s="4"/>
      <c r="C235" s="4"/>
      <c r="D235" s="4"/>
      <c r="E235" s="4"/>
      <c r="F235" s="4"/>
      <c r="G235" s="4"/>
      <c r="H235" s="12"/>
      <c r="I235" s="12"/>
      <c r="J235" s="12"/>
      <c r="K235" s="25"/>
      <c r="L235" s="4"/>
      <c r="M235" s="4"/>
    </row>
    <row r="236" ht="15.75" customHeight="1">
      <c r="A236" s="26"/>
      <c r="B236" s="4"/>
      <c r="C236" s="4"/>
      <c r="D236" s="4"/>
      <c r="E236" s="4"/>
      <c r="F236" s="4"/>
      <c r="G236" s="4"/>
      <c r="H236" s="12"/>
      <c r="I236" s="12"/>
      <c r="J236" s="12"/>
      <c r="K236" s="25"/>
      <c r="L236" s="4"/>
      <c r="M236" s="4"/>
    </row>
    <row r="237" ht="15.75" customHeight="1">
      <c r="A237" s="26"/>
      <c r="B237" s="4"/>
      <c r="C237" s="4"/>
      <c r="D237" s="4"/>
      <c r="E237" s="4"/>
      <c r="F237" s="4"/>
      <c r="G237" s="4"/>
      <c r="H237" s="12"/>
      <c r="I237" s="12"/>
      <c r="J237" s="12"/>
      <c r="K237" s="25"/>
      <c r="L237" s="4"/>
      <c r="M237" s="4"/>
    </row>
    <row r="238" ht="15.75" customHeight="1">
      <c r="A238" s="26"/>
      <c r="B238" s="4"/>
      <c r="C238" s="4"/>
      <c r="D238" s="4"/>
      <c r="E238" s="4"/>
      <c r="F238" s="4"/>
      <c r="G238" s="4"/>
      <c r="H238" s="12"/>
      <c r="I238" s="12"/>
      <c r="J238" s="12"/>
      <c r="K238" s="25"/>
      <c r="L238" s="4"/>
      <c r="M238" s="4"/>
    </row>
    <row r="239" ht="15.75" customHeight="1">
      <c r="A239" s="26"/>
      <c r="B239" s="4"/>
      <c r="C239" s="4"/>
      <c r="D239" s="4"/>
      <c r="E239" s="4"/>
      <c r="F239" s="4"/>
      <c r="G239" s="4"/>
      <c r="H239" s="12"/>
      <c r="I239" s="12"/>
      <c r="J239" s="12"/>
      <c r="K239" s="25"/>
      <c r="L239" s="4"/>
      <c r="M239" s="4"/>
    </row>
    <row r="240" ht="15.75" customHeight="1">
      <c r="A240" s="26"/>
      <c r="B240" s="4"/>
      <c r="C240" s="4"/>
      <c r="D240" s="4"/>
      <c r="E240" s="4"/>
      <c r="F240" s="4"/>
      <c r="G240" s="4"/>
      <c r="H240" s="12"/>
      <c r="I240" s="12"/>
      <c r="J240" s="12"/>
      <c r="K240" s="25"/>
      <c r="L240" s="4"/>
      <c r="M240" s="4"/>
    </row>
    <row r="241" ht="15.75" customHeight="1">
      <c r="A241" s="26"/>
      <c r="B241" s="4"/>
      <c r="C241" s="4"/>
      <c r="D241" s="4"/>
      <c r="E241" s="4"/>
      <c r="F241" s="4"/>
      <c r="G241" s="4"/>
      <c r="H241" s="12"/>
      <c r="I241" s="12"/>
      <c r="J241" s="12"/>
      <c r="K241" s="25"/>
      <c r="L241" s="4"/>
      <c r="M241" s="4"/>
    </row>
    <row r="242" ht="15.75" customHeight="1">
      <c r="A242" s="26"/>
      <c r="B242" s="4"/>
      <c r="C242" s="4"/>
      <c r="D242" s="4"/>
      <c r="E242" s="4"/>
      <c r="F242" s="4"/>
      <c r="G242" s="4"/>
      <c r="H242" s="12"/>
      <c r="I242" s="12"/>
      <c r="J242" s="12"/>
      <c r="K242" s="25"/>
      <c r="L242" s="4"/>
      <c r="M242" s="4"/>
    </row>
    <row r="243" ht="15.75" customHeight="1">
      <c r="A243" s="26"/>
      <c r="B243" s="4"/>
      <c r="C243" s="4"/>
      <c r="D243" s="4"/>
      <c r="E243" s="4"/>
      <c r="F243" s="4"/>
      <c r="G243" s="4"/>
      <c r="H243" s="12"/>
      <c r="I243" s="12"/>
      <c r="J243" s="12"/>
      <c r="K243" s="25"/>
      <c r="L243" s="4"/>
      <c r="M243" s="4"/>
    </row>
    <row r="244" ht="15.75" customHeight="1">
      <c r="A244" s="26"/>
      <c r="B244" s="4"/>
      <c r="C244" s="4"/>
      <c r="D244" s="4"/>
      <c r="E244" s="4"/>
      <c r="F244" s="4"/>
      <c r="G244" s="4"/>
      <c r="H244" s="12"/>
      <c r="I244" s="12"/>
      <c r="J244" s="12"/>
      <c r="K244" s="25"/>
      <c r="L244" s="4"/>
      <c r="M244" s="4"/>
    </row>
    <row r="245" ht="15.75" customHeight="1">
      <c r="A245" s="26"/>
      <c r="B245" s="4"/>
      <c r="C245" s="4"/>
      <c r="D245" s="4"/>
      <c r="E245" s="4"/>
      <c r="F245" s="4"/>
      <c r="G245" s="4"/>
      <c r="H245" s="12"/>
      <c r="I245" s="12"/>
      <c r="J245" s="12"/>
      <c r="K245" s="25"/>
      <c r="L245" s="4"/>
      <c r="M245" s="4"/>
    </row>
    <row r="246" ht="15.75" customHeight="1">
      <c r="A246" s="26"/>
      <c r="B246" s="4"/>
      <c r="C246" s="4"/>
      <c r="D246" s="4"/>
      <c r="E246" s="4"/>
      <c r="F246" s="4"/>
      <c r="G246" s="4"/>
      <c r="H246" s="12"/>
      <c r="I246" s="12"/>
      <c r="J246" s="12"/>
      <c r="K246" s="25"/>
      <c r="L246" s="4"/>
      <c r="M246" s="4"/>
    </row>
    <row r="247" ht="15.75" customHeight="1">
      <c r="A247" s="26"/>
      <c r="B247" s="4"/>
      <c r="C247" s="4"/>
      <c r="D247" s="4"/>
      <c r="E247" s="4"/>
      <c r="F247" s="4"/>
      <c r="G247" s="4"/>
      <c r="H247" s="12"/>
      <c r="I247" s="12"/>
      <c r="J247" s="12"/>
      <c r="K247" s="25"/>
      <c r="L247" s="4"/>
      <c r="M247" s="4"/>
    </row>
    <row r="248" ht="15.75" customHeight="1">
      <c r="A248" s="26"/>
      <c r="B248" s="4"/>
      <c r="C248" s="4"/>
      <c r="D248" s="4"/>
      <c r="E248" s="4"/>
      <c r="F248" s="4"/>
      <c r="G248" s="4"/>
      <c r="H248" s="12"/>
      <c r="I248" s="12"/>
      <c r="J248" s="12"/>
      <c r="K248" s="25"/>
      <c r="L248" s="4"/>
      <c r="M248" s="4"/>
    </row>
    <row r="249" ht="15.75" customHeight="1">
      <c r="A249" s="26"/>
      <c r="B249" s="4"/>
      <c r="C249" s="4"/>
      <c r="D249" s="4"/>
      <c r="E249" s="4"/>
      <c r="F249" s="4"/>
      <c r="G249" s="4"/>
      <c r="H249" s="12"/>
      <c r="I249" s="12"/>
      <c r="J249" s="12"/>
      <c r="K249" s="25"/>
      <c r="L249" s="4"/>
      <c r="M249" s="4"/>
    </row>
    <row r="250" ht="15.75" customHeight="1">
      <c r="A250" s="26"/>
      <c r="B250" s="4"/>
      <c r="C250" s="4"/>
      <c r="D250" s="4"/>
      <c r="E250" s="4"/>
      <c r="F250" s="4"/>
      <c r="G250" s="4"/>
      <c r="H250" s="12"/>
      <c r="I250" s="12"/>
      <c r="J250" s="12"/>
      <c r="K250" s="25"/>
      <c r="L250" s="4"/>
      <c r="M250" s="4"/>
    </row>
    <row r="251" ht="15.75" customHeight="1">
      <c r="A251" s="26"/>
      <c r="B251" s="4"/>
      <c r="C251" s="4"/>
      <c r="D251" s="4"/>
      <c r="E251" s="4"/>
      <c r="F251" s="4"/>
      <c r="G251" s="4"/>
      <c r="H251" s="12"/>
      <c r="I251" s="12"/>
      <c r="J251" s="12"/>
      <c r="K251" s="25"/>
      <c r="L251" s="4"/>
      <c r="M251" s="4"/>
    </row>
    <row r="252" ht="15.75" customHeight="1">
      <c r="A252" s="26"/>
      <c r="B252" s="4"/>
      <c r="C252" s="4"/>
      <c r="D252" s="4"/>
      <c r="E252" s="4"/>
      <c r="F252" s="4"/>
      <c r="G252" s="4"/>
      <c r="H252" s="12"/>
      <c r="I252" s="12"/>
      <c r="J252" s="12"/>
      <c r="K252" s="25"/>
      <c r="L252" s="4"/>
      <c r="M252" s="4"/>
    </row>
    <row r="253" ht="15.75" customHeight="1">
      <c r="A253" s="26"/>
      <c r="B253" s="4"/>
      <c r="C253" s="4"/>
      <c r="D253" s="4"/>
      <c r="E253" s="4"/>
      <c r="F253" s="4"/>
      <c r="G253" s="4"/>
      <c r="H253" s="12"/>
      <c r="I253" s="12"/>
      <c r="J253" s="12"/>
      <c r="K253" s="25"/>
      <c r="L253" s="4"/>
      <c r="M253" s="4"/>
    </row>
    <row r="254" ht="15.75" customHeight="1">
      <c r="A254" s="26"/>
      <c r="B254" s="4"/>
      <c r="C254" s="4"/>
      <c r="D254" s="4"/>
      <c r="E254" s="4"/>
      <c r="F254" s="4"/>
      <c r="G254" s="4"/>
      <c r="H254" s="12"/>
      <c r="I254" s="12"/>
      <c r="J254" s="12"/>
      <c r="K254" s="25"/>
      <c r="L254" s="4"/>
      <c r="M254" s="4"/>
    </row>
    <row r="255" ht="15.75" customHeight="1">
      <c r="A255" s="26"/>
      <c r="B255" s="4"/>
      <c r="C255" s="4"/>
      <c r="D255" s="4"/>
      <c r="E255" s="4"/>
      <c r="F255" s="4"/>
      <c r="G255" s="4"/>
      <c r="H255" s="12"/>
      <c r="I255" s="12"/>
      <c r="J255" s="12"/>
      <c r="K255" s="25"/>
      <c r="L255" s="4"/>
      <c r="M255" s="4"/>
    </row>
    <row r="256" ht="15.75" customHeight="1">
      <c r="A256" s="26"/>
      <c r="B256" s="4"/>
      <c r="C256" s="4"/>
      <c r="D256" s="4"/>
      <c r="E256" s="4"/>
      <c r="F256" s="4"/>
      <c r="G256" s="4"/>
      <c r="H256" s="12"/>
      <c r="I256" s="12"/>
      <c r="J256" s="12"/>
      <c r="K256" s="25"/>
      <c r="L256" s="4"/>
      <c r="M256" s="4"/>
    </row>
    <row r="257" ht="15.75" customHeight="1">
      <c r="A257" s="26"/>
      <c r="B257" s="4"/>
      <c r="C257" s="4"/>
      <c r="D257" s="4"/>
      <c r="E257" s="4"/>
      <c r="F257" s="4"/>
      <c r="G257" s="4"/>
      <c r="H257" s="12"/>
      <c r="I257" s="12"/>
      <c r="J257" s="12"/>
      <c r="K257" s="25"/>
      <c r="L257" s="4"/>
      <c r="M257" s="4"/>
    </row>
    <row r="258" ht="15.75" customHeight="1">
      <c r="A258" s="26"/>
      <c r="B258" s="4"/>
      <c r="C258" s="4"/>
      <c r="D258" s="4"/>
      <c r="E258" s="4"/>
      <c r="F258" s="4"/>
      <c r="G258" s="4"/>
      <c r="H258" s="12"/>
      <c r="I258" s="12"/>
      <c r="J258" s="12"/>
      <c r="K258" s="25"/>
      <c r="L258" s="4"/>
      <c r="M258" s="4"/>
    </row>
    <row r="259" ht="15.75" customHeight="1">
      <c r="A259" s="26"/>
      <c r="B259" s="4"/>
      <c r="C259" s="4"/>
      <c r="D259" s="4"/>
      <c r="E259" s="4"/>
      <c r="F259" s="4"/>
      <c r="G259" s="4"/>
      <c r="H259" s="12"/>
      <c r="I259" s="12"/>
      <c r="J259" s="12"/>
      <c r="K259" s="25"/>
      <c r="L259" s="4"/>
      <c r="M259" s="4"/>
    </row>
    <row r="260" ht="15.75" customHeight="1">
      <c r="A260" s="26"/>
      <c r="B260" s="4"/>
      <c r="C260" s="4"/>
      <c r="D260" s="4"/>
      <c r="E260" s="4"/>
      <c r="F260" s="4"/>
      <c r="G260" s="4"/>
      <c r="H260" s="12"/>
      <c r="I260" s="12"/>
      <c r="J260" s="12"/>
      <c r="K260" s="25"/>
      <c r="L260" s="4"/>
      <c r="M260" s="4"/>
    </row>
    <row r="261" ht="15.75" customHeight="1">
      <c r="A261" s="26"/>
      <c r="B261" s="4"/>
      <c r="C261" s="4"/>
      <c r="D261" s="4"/>
      <c r="E261" s="4"/>
      <c r="F261" s="4"/>
      <c r="G261" s="4"/>
      <c r="H261" s="12"/>
      <c r="I261" s="12"/>
      <c r="J261" s="12"/>
      <c r="K261" s="25"/>
      <c r="L261" s="4"/>
      <c r="M261" s="4"/>
    </row>
    <row r="262" ht="15.75" customHeight="1">
      <c r="A262" s="26"/>
      <c r="B262" s="4"/>
      <c r="C262" s="4"/>
      <c r="D262" s="4"/>
      <c r="E262" s="4"/>
      <c r="F262" s="4"/>
      <c r="G262" s="4"/>
      <c r="H262" s="12"/>
      <c r="I262" s="12"/>
      <c r="J262" s="12"/>
      <c r="K262" s="25"/>
      <c r="L262" s="4"/>
      <c r="M262" s="4"/>
    </row>
    <row r="263" ht="15.75" customHeight="1">
      <c r="A263" s="26"/>
      <c r="B263" s="4"/>
      <c r="C263" s="4"/>
      <c r="D263" s="4"/>
      <c r="E263" s="4"/>
      <c r="F263" s="4"/>
      <c r="G263" s="4"/>
      <c r="H263" s="12"/>
      <c r="I263" s="12"/>
      <c r="J263" s="12"/>
      <c r="K263" s="25"/>
      <c r="L263" s="4"/>
      <c r="M263" s="4"/>
    </row>
    <row r="264" ht="15.75" customHeight="1">
      <c r="A264" s="26"/>
      <c r="B264" s="4"/>
      <c r="C264" s="4"/>
      <c r="D264" s="4"/>
      <c r="E264" s="4"/>
      <c r="F264" s="4"/>
      <c r="G264" s="4"/>
      <c r="H264" s="12"/>
      <c r="I264" s="12"/>
      <c r="J264" s="12"/>
      <c r="K264" s="25"/>
      <c r="L264" s="4"/>
      <c r="M264" s="4"/>
    </row>
    <row r="265" ht="15.75" customHeight="1">
      <c r="A265" s="26"/>
      <c r="B265" s="4"/>
      <c r="C265" s="4"/>
      <c r="D265" s="4"/>
      <c r="E265" s="4"/>
      <c r="F265" s="4"/>
      <c r="G265" s="4"/>
      <c r="H265" s="12"/>
      <c r="I265" s="12"/>
      <c r="J265" s="12"/>
      <c r="K265" s="25"/>
      <c r="L265" s="4"/>
      <c r="M265" s="4"/>
    </row>
    <row r="266" ht="15.75" customHeight="1">
      <c r="A266" s="26"/>
      <c r="B266" s="4"/>
      <c r="C266" s="4"/>
      <c r="D266" s="4"/>
      <c r="E266" s="4"/>
      <c r="F266" s="4"/>
      <c r="G266" s="4"/>
      <c r="H266" s="12"/>
      <c r="I266" s="12"/>
      <c r="J266" s="12"/>
      <c r="K266" s="25"/>
      <c r="L266" s="4"/>
      <c r="M266" s="4"/>
    </row>
    <row r="267" ht="15.75" customHeight="1">
      <c r="A267" s="26"/>
      <c r="B267" s="4"/>
      <c r="C267" s="4"/>
      <c r="D267" s="4"/>
      <c r="E267" s="4"/>
      <c r="F267" s="4"/>
      <c r="G267" s="4"/>
      <c r="H267" s="12"/>
      <c r="I267" s="12"/>
      <c r="J267" s="12"/>
      <c r="K267" s="25"/>
      <c r="L267" s="4"/>
      <c r="M267" s="4"/>
    </row>
    <row r="268" ht="15.75" customHeight="1">
      <c r="A268" s="26"/>
      <c r="B268" s="4"/>
      <c r="C268" s="4"/>
      <c r="D268" s="4"/>
      <c r="E268" s="4"/>
      <c r="F268" s="4"/>
      <c r="G268" s="4"/>
      <c r="H268" s="12"/>
      <c r="I268" s="12"/>
      <c r="J268" s="12"/>
      <c r="K268" s="25"/>
      <c r="L268" s="4"/>
      <c r="M268" s="4"/>
    </row>
    <row r="269" ht="15.75" customHeight="1">
      <c r="A269" s="26"/>
      <c r="B269" s="4"/>
      <c r="C269" s="4"/>
      <c r="D269" s="4"/>
      <c r="E269" s="4"/>
      <c r="F269" s="4"/>
      <c r="G269" s="4"/>
      <c r="H269" s="12"/>
      <c r="I269" s="12"/>
      <c r="J269" s="12"/>
      <c r="K269" s="25"/>
      <c r="L269" s="4"/>
      <c r="M269" s="4"/>
    </row>
    <row r="270" ht="15.75" customHeight="1">
      <c r="A270" s="26"/>
      <c r="B270" s="4"/>
      <c r="C270" s="4"/>
      <c r="D270" s="4"/>
      <c r="E270" s="4"/>
      <c r="F270" s="4"/>
      <c r="G270" s="4"/>
      <c r="H270" s="12"/>
      <c r="I270" s="12"/>
      <c r="J270" s="12"/>
      <c r="K270" s="25"/>
      <c r="L270" s="4"/>
      <c r="M270" s="4"/>
    </row>
    <row r="271" ht="15.75" customHeight="1">
      <c r="A271" s="26"/>
      <c r="B271" s="4"/>
      <c r="C271" s="4"/>
      <c r="D271" s="4"/>
      <c r="E271" s="4"/>
      <c r="F271" s="4"/>
      <c r="G271" s="4"/>
      <c r="H271" s="12"/>
      <c r="I271" s="12"/>
      <c r="J271" s="12"/>
      <c r="K271" s="25"/>
      <c r="L271" s="4"/>
      <c r="M271" s="4"/>
    </row>
    <row r="272" ht="15.75" customHeight="1">
      <c r="A272" s="26"/>
      <c r="B272" s="4"/>
      <c r="C272" s="4"/>
      <c r="D272" s="4"/>
      <c r="E272" s="4"/>
      <c r="F272" s="4"/>
      <c r="G272" s="4"/>
      <c r="H272" s="12"/>
      <c r="I272" s="12"/>
      <c r="J272" s="12"/>
      <c r="K272" s="25"/>
      <c r="L272" s="4"/>
      <c r="M272" s="4"/>
    </row>
    <row r="273" ht="15.75" customHeight="1">
      <c r="A273" s="26"/>
      <c r="B273" s="4"/>
      <c r="C273" s="4"/>
      <c r="D273" s="4"/>
      <c r="E273" s="4"/>
      <c r="F273" s="4"/>
      <c r="G273" s="4"/>
      <c r="H273" s="12"/>
      <c r="I273" s="12"/>
      <c r="J273" s="12"/>
      <c r="K273" s="25"/>
      <c r="L273" s="4"/>
      <c r="M273" s="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26.0"/>
    <col customWidth="1" min="4" max="4" width="15.0"/>
    <col customWidth="1" min="5" max="5" width="16.0"/>
    <col customWidth="1" min="6" max="7" width="14.0"/>
    <col customWidth="1" min="8" max="8" width="16.0"/>
    <col customWidth="1" min="9" max="10" width="15.0"/>
    <col customWidth="1" min="11" max="11" width="12.0"/>
    <col customWidth="1" min="12" max="12" width="28.0"/>
    <col customWidth="1" min="13" max="26" width="8.71"/>
  </cols>
  <sheetData>
    <row r="1" ht="27.75" customHeight="1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18" t="s">
        <v>34</v>
      </c>
      <c r="B2" s="18" t="s">
        <v>36</v>
      </c>
      <c r="C2" s="18" t="s">
        <v>37</v>
      </c>
      <c r="D2" s="18" t="s">
        <v>13</v>
      </c>
      <c r="E2" s="18" t="s">
        <v>38</v>
      </c>
      <c r="F2" s="18" t="s">
        <v>39</v>
      </c>
      <c r="G2" s="18" t="s">
        <v>43</v>
      </c>
      <c r="H2" s="18" t="s">
        <v>41</v>
      </c>
      <c r="I2" s="18" t="s">
        <v>300</v>
      </c>
      <c r="J2" s="18" t="s">
        <v>301</v>
      </c>
      <c r="K2" s="18" t="s">
        <v>203</v>
      </c>
      <c r="L2" s="18" t="s">
        <v>274</v>
      </c>
    </row>
    <row r="3">
      <c r="A3" s="19" t="s">
        <v>302</v>
      </c>
      <c r="B3" s="24">
        <v>46145.0</v>
      </c>
      <c r="C3" s="19" t="s">
        <v>124</v>
      </c>
      <c r="D3" s="19" t="s">
        <v>18</v>
      </c>
      <c r="E3" s="19" t="s">
        <v>109</v>
      </c>
      <c r="F3" s="19" t="s">
        <v>303</v>
      </c>
      <c r="G3" s="19" t="s">
        <v>292</v>
      </c>
      <c r="H3" s="19" t="s">
        <v>304</v>
      </c>
      <c r="I3" s="22">
        <f>SUMIF(Detalle_Pedidos!$A:$A,A3,Detalle_Pedidos!$F:$F)</f>
        <v>86286</v>
      </c>
      <c r="J3" s="22">
        <f>SUMIF(Detalle_Pedidos!$A:$A,A3,Detalle_Pedidos!$H:$H)</f>
        <v>20586</v>
      </c>
      <c r="K3" s="23">
        <f t="shared" ref="K3:K24" si="1">IF(I3&gt;0,J3/I3,0)</f>
        <v>0.2385786802</v>
      </c>
      <c r="L3" s="19" t="s">
        <v>305</v>
      </c>
    </row>
    <row r="4">
      <c r="A4" s="19" t="s">
        <v>306</v>
      </c>
      <c r="B4" s="24">
        <v>46143.0</v>
      </c>
      <c r="C4" s="19" t="s">
        <v>163</v>
      </c>
      <c r="D4" s="19" t="s">
        <v>26</v>
      </c>
      <c r="E4" s="19" t="s">
        <v>158</v>
      </c>
      <c r="F4" s="19" t="s">
        <v>40</v>
      </c>
      <c r="G4" s="19" t="s">
        <v>307</v>
      </c>
      <c r="H4" s="19" t="s">
        <v>304</v>
      </c>
      <c r="I4" s="22">
        <f>SUMIF(Detalle_Pedidos!$A:$A,A4,Detalle_Pedidos!$F:$F)</f>
        <v>233806.5</v>
      </c>
      <c r="J4" s="22">
        <f>SUMIF(Detalle_Pedidos!$A:$A,A4,Detalle_Pedidos!$H:$H)</f>
        <v>34606.5</v>
      </c>
      <c r="K4" s="23">
        <f t="shared" si="1"/>
        <v>0.1480134214</v>
      </c>
      <c r="L4" s="19" t="s">
        <v>305</v>
      </c>
    </row>
    <row r="5">
      <c r="A5" s="19" t="s">
        <v>308</v>
      </c>
      <c r="B5" s="24">
        <v>46152.0</v>
      </c>
      <c r="C5" s="19" t="s">
        <v>309</v>
      </c>
      <c r="D5" s="19" t="s">
        <v>18</v>
      </c>
      <c r="E5" s="19" t="s">
        <v>109</v>
      </c>
      <c r="F5" s="19" t="s">
        <v>40</v>
      </c>
      <c r="G5" s="19" t="s">
        <v>310</v>
      </c>
      <c r="H5" s="19" t="s">
        <v>304</v>
      </c>
      <c r="I5" s="22">
        <f>SUMIF(Detalle_Pedidos!$A:$A,A5,Detalle_Pedidos!$F:$F)</f>
        <v>234885</v>
      </c>
      <c r="J5" s="22">
        <f>SUMIF(Detalle_Pedidos!$A:$A,A5,Detalle_Pedidos!$H:$H)</f>
        <v>25575</v>
      </c>
      <c r="K5" s="23">
        <f t="shared" si="1"/>
        <v>0.1088830704</v>
      </c>
      <c r="L5" s="19" t="s">
        <v>305</v>
      </c>
    </row>
    <row r="6">
      <c r="A6" s="19" t="s">
        <v>311</v>
      </c>
      <c r="B6" s="24">
        <v>46145.0</v>
      </c>
      <c r="C6" s="19" t="s">
        <v>135</v>
      </c>
      <c r="D6" s="19" t="s">
        <v>22</v>
      </c>
      <c r="E6" s="19" t="s">
        <v>139</v>
      </c>
      <c r="F6" s="19" t="s">
        <v>303</v>
      </c>
      <c r="G6" s="19" t="s">
        <v>310</v>
      </c>
      <c r="H6" s="19" t="s">
        <v>312</v>
      </c>
      <c r="I6" s="22">
        <f>SUMIF(Detalle_Pedidos!$A:$A,A6,Detalle_Pedidos!$F:$F)</f>
        <v>509626</v>
      </c>
      <c r="J6" s="22">
        <f>SUMIF(Detalle_Pedidos!$A:$A,A6,Detalle_Pedidos!$H:$H)</f>
        <v>83246</v>
      </c>
      <c r="K6" s="23">
        <f t="shared" si="1"/>
        <v>0.163347239</v>
      </c>
      <c r="L6" s="19" t="s">
        <v>305</v>
      </c>
    </row>
    <row r="7">
      <c r="A7" s="19" t="s">
        <v>313</v>
      </c>
      <c r="B7" s="24">
        <v>46151.0</v>
      </c>
      <c r="C7" s="19" t="s">
        <v>84</v>
      </c>
      <c r="D7" s="19" t="s">
        <v>18</v>
      </c>
      <c r="E7" s="19" t="s">
        <v>76</v>
      </c>
      <c r="F7" s="19" t="s">
        <v>303</v>
      </c>
      <c r="G7" s="19" t="s">
        <v>310</v>
      </c>
      <c r="H7" s="19" t="s">
        <v>304</v>
      </c>
      <c r="I7" s="22">
        <f>SUMIF(Detalle_Pedidos!$A:$A,A7,Detalle_Pedidos!$F:$F)</f>
        <v>848902.5</v>
      </c>
      <c r="J7" s="22">
        <f>SUMIF(Detalle_Pedidos!$A:$A,A7,Detalle_Pedidos!$H:$H)</f>
        <v>85502.5</v>
      </c>
      <c r="K7" s="23">
        <f t="shared" si="1"/>
        <v>0.1007212253</v>
      </c>
      <c r="L7" s="19" t="s">
        <v>305</v>
      </c>
    </row>
    <row r="8">
      <c r="A8" s="19" t="s">
        <v>314</v>
      </c>
      <c r="B8" s="24">
        <v>46148.0</v>
      </c>
      <c r="C8" s="19" t="s">
        <v>144</v>
      </c>
      <c r="D8" s="19" t="s">
        <v>20</v>
      </c>
      <c r="E8" s="19" t="s">
        <v>148</v>
      </c>
      <c r="F8" s="19" t="s">
        <v>40</v>
      </c>
      <c r="G8" s="19" t="s">
        <v>315</v>
      </c>
      <c r="H8" s="19" t="s">
        <v>42</v>
      </c>
      <c r="I8" s="22">
        <f>SUMIF(Detalle_Pedidos!$A:$A,A8,Detalle_Pedidos!$F:$F)</f>
        <v>200695</v>
      </c>
      <c r="J8" s="22">
        <f>SUMIF(Detalle_Pedidos!$A:$A,A8,Detalle_Pedidos!$H:$H)</f>
        <v>41035</v>
      </c>
      <c r="K8" s="23">
        <f t="shared" si="1"/>
        <v>0.2044644859</v>
      </c>
      <c r="L8" s="19" t="s">
        <v>305</v>
      </c>
    </row>
    <row r="9">
      <c r="A9" s="19" t="s">
        <v>316</v>
      </c>
      <c r="B9" s="24">
        <v>46150.0</v>
      </c>
      <c r="C9" s="19" t="s">
        <v>180</v>
      </c>
      <c r="D9" s="19" t="s">
        <v>30</v>
      </c>
      <c r="E9" s="19" t="s">
        <v>109</v>
      </c>
      <c r="F9" s="19" t="s">
        <v>303</v>
      </c>
      <c r="G9" s="19" t="s">
        <v>315</v>
      </c>
      <c r="H9" s="19" t="s">
        <v>304</v>
      </c>
      <c r="I9" s="22">
        <f>SUMIF(Detalle_Pedidos!$A:$A,A9,Detalle_Pedidos!$F:$F)</f>
        <v>115450</v>
      </c>
      <c r="J9" s="22">
        <f>SUMIF(Detalle_Pedidos!$A:$A,A9,Detalle_Pedidos!$H:$H)</f>
        <v>18100</v>
      </c>
      <c r="K9" s="23">
        <f t="shared" si="1"/>
        <v>0.1567778259</v>
      </c>
      <c r="L9" s="19" t="s">
        <v>305</v>
      </c>
    </row>
    <row r="10">
      <c r="A10" s="19" t="s">
        <v>317</v>
      </c>
      <c r="B10" s="24">
        <v>46150.0</v>
      </c>
      <c r="C10" s="19" t="s">
        <v>93</v>
      </c>
      <c r="D10" s="19" t="s">
        <v>20</v>
      </c>
      <c r="E10" s="19" t="s">
        <v>97</v>
      </c>
      <c r="F10" s="19" t="s">
        <v>40</v>
      </c>
      <c r="G10" s="19" t="s">
        <v>292</v>
      </c>
      <c r="H10" s="19" t="s">
        <v>304</v>
      </c>
      <c r="I10" s="22">
        <f>SUMIF(Detalle_Pedidos!$A:$A,A10,Detalle_Pedidos!$F:$F)</f>
        <v>317196</v>
      </c>
      <c r="J10" s="22">
        <f>SUMIF(Detalle_Pedidos!$A:$A,A10,Detalle_Pedidos!$H:$H)</f>
        <v>63136</v>
      </c>
      <c r="K10" s="23">
        <f t="shared" si="1"/>
        <v>0.1990441241</v>
      </c>
      <c r="L10" s="19" t="s">
        <v>305</v>
      </c>
    </row>
    <row r="11">
      <c r="A11" s="19" t="s">
        <v>318</v>
      </c>
      <c r="B11" s="24">
        <v>46144.0</v>
      </c>
      <c r="C11" s="19" t="s">
        <v>144</v>
      </c>
      <c r="D11" s="19" t="s">
        <v>20</v>
      </c>
      <c r="E11" s="19" t="s">
        <v>148</v>
      </c>
      <c r="F11" s="19" t="s">
        <v>319</v>
      </c>
      <c r="G11" s="19" t="s">
        <v>310</v>
      </c>
      <c r="H11" s="19" t="s">
        <v>320</v>
      </c>
      <c r="I11" s="22">
        <f>SUMIF(Detalle_Pedidos!$A:$A,A11,Detalle_Pedidos!$F:$F)</f>
        <v>321722.5</v>
      </c>
      <c r="J11" s="22">
        <f>SUMIF(Detalle_Pedidos!$A:$A,A11,Detalle_Pedidos!$H:$H)</f>
        <v>58722.5</v>
      </c>
      <c r="K11" s="23">
        <f t="shared" si="1"/>
        <v>0.182525313</v>
      </c>
      <c r="L11" s="19" t="s">
        <v>305</v>
      </c>
    </row>
    <row r="12">
      <c r="A12" s="19" t="s">
        <v>321</v>
      </c>
      <c r="B12" s="24">
        <v>46148.0</v>
      </c>
      <c r="C12" s="19" t="s">
        <v>172</v>
      </c>
      <c r="D12" s="19" t="s">
        <v>18</v>
      </c>
      <c r="E12" s="19" t="s">
        <v>109</v>
      </c>
      <c r="F12" s="19" t="s">
        <v>319</v>
      </c>
      <c r="G12" s="19" t="s">
        <v>310</v>
      </c>
      <c r="H12" s="19" t="s">
        <v>312</v>
      </c>
      <c r="I12" s="22">
        <f>SUMIF(Detalle_Pedidos!$A:$A,A12,Detalle_Pedidos!$F:$F)</f>
        <v>44190</v>
      </c>
      <c r="J12" s="22">
        <f>SUMIF(Detalle_Pedidos!$A:$A,A12,Detalle_Pedidos!$H:$H)</f>
        <v>10390</v>
      </c>
      <c r="K12" s="23">
        <f t="shared" si="1"/>
        <v>0.2351210681</v>
      </c>
      <c r="L12" s="19" t="s">
        <v>305</v>
      </c>
    </row>
    <row r="13">
      <c r="A13" s="19" t="s">
        <v>322</v>
      </c>
      <c r="B13" s="24">
        <v>46155.0</v>
      </c>
      <c r="C13" s="19" t="s">
        <v>105</v>
      </c>
      <c r="D13" s="19" t="s">
        <v>20</v>
      </c>
      <c r="E13" s="19" t="s">
        <v>109</v>
      </c>
      <c r="F13" s="19" t="s">
        <v>40</v>
      </c>
      <c r="G13" s="19" t="s">
        <v>315</v>
      </c>
      <c r="H13" s="19" t="s">
        <v>42</v>
      </c>
      <c r="I13" s="22">
        <f>SUMIF(Detalle_Pedidos!$A:$A,A13,Detalle_Pedidos!$F:$F)</f>
        <v>971207.5</v>
      </c>
      <c r="J13" s="22">
        <f>SUMIF(Detalle_Pedidos!$A:$A,A13,Detalle_Pedidos!$H:$H)</f>
        <v>49707.5</v>
      </c>
      <c r="K13" s="23">
        <f t="shared" si="1"/>
        <v>0.05118113277</v>
      </c>
      <c r="L13" s="19" t="s">
        <v>305</v>
      </c>
    </row>
    <row r="14">
      <c r="A14" s="19" t="s">
        <v>323</v>
      </c>
      <c r="B14" s="24">
        <v>46147.0</v>
      </c>
      <c r="C14" s="19" t="s">
        <v>154</v>
      </c>
      <c r="D14" s="19" t="s">
        <v>24</v>
      </c>
      <c r="E14" s="19" t="s">
        <v>158</v>
      </c>
      <c r="F14" s="19" t="s">
        <v>319</v>
      </c>
      <c r="G14" s="19" t="s">
        <v>307</v>
      </c>
      <c r="H14" s="19" t="s">
        <v>312</v>
      </c>
      <c r="I14" s="22">
        <f>SUMIF(Detalle_Pedidos!$A:$A,A14,Detalle_Pedidos!$F:$F)</f>
        <v>102950</v>
      </c>
      <c r="J14" s="22">
        <f>SUMIF(Detalle_Pedidos!$A:$A,A14,Detalle_Pedidos!$H:$H)</f>
        <v>22650</v>
      </c>
      <c r="K14" s="23">
        <f t="shared" si="1"/>
        <v>0.2200097135</v>
      </c>
      <c r="L14" s="19" t="s">
        <v>305</v>
      </c>
    </row>
    <row r="15">
      <c r="A15" s="19" t="s">
        <v>324</v>
      </c>
      <c r="B15" s="24">
        <v>46146.0</v>
      </c>
      <c r="C15" s="19" t="s">
        <v>93</v>
      </c>
      <c r="D15" s="19" t="s">
        <v>20</v>
      </c>
      <c r="E15" s="19" t="s">
        <v>97</v>
      </c>
      <c r="F15" s="19" t="s">
        <v>40</v>
      </c>
      <c r="G15" s="19" t="s">
        <v>307</v>
      </c>
      <c r="H15" s="19" t="s">
        <v>320</v>
      </c>
      <c r="I15" s="22">
        <f>SUMIF(Detalle_Pedidos!$A:$A,A15,Detalle_Pedidos!$F:$F)</f>
        <v>90717.5</v>
      </c>
      <c r="J15" s="22">
        <f>SUMIF(Detalle_Pedidos!$A:$A,A15,Detalle_Pedidos!$H:$H)</f>
        <v>24627.5</v>
      </c>
      <c r="K15" s="23">
        <f t="shared" si="1"/>
        <v>0.2714746328</v>
      </c>
      <c r="L15" s="19" t="s">
        <v>305</v>
      </c>
    </row>
    <row r="16">
      <c r="A16" s="19" t="s">
        <v>325</v>
      </c>
      <c r="B16" s="24">
        <v>46152.0</v>
      </c>
      <c r="C16" s="19" t="s">
        <v>163</v>
      </c>
      <c r="D16" s="19" t="s">
        <v>26</v>
      </c>
      <c r="E16" s="19" t="s">
        <v>158</v>
      </c>
      <c r="F16" s="19" t="s">
        <v>40</v>
      </c>
      <c r="G16" s="19" t="s">
        <v>315</v>
      </c>
      <c r="H16" s="19" t="s">
        <v>304</v>
      </c>
      <c r="I16" s="22">
        <f>SUMIF(Detalle_Pedidos!$A:$A,A16,Detalle_Pedidos!$F:$F)</f>
        <v>236707.5</v>
      </c>
      <c r="J16" s="22">
        <f>SUMIF(Detalle_Pedidos!$A:$A,A16,Detalle_Pedidos!$H:$H)</f>
        <v>49957.5</v>
      </c>
      <c r="K16" s="23">
        <f t="shared" si="1"/>
        <v>0.2110516143</v>
      </c>
      <c r="L16" s="19" t="s">
        <v>305</v>
      </c>
    </row>
    <row r="17">
      <c r="A17" s="19" t="s">
        <v>326</v>
      </c>
      <c r="B17" s="24">
        <v>46149.0</v>
      </c>
      <c r="C17" s="19" t="s">
        <v>135</v>
      </c>
      <c r="D17" s="19" t="s">
        <v>22</v>
      </c>
      <c r="E17" s="19" t="s">
        <v>139</v>
      </c>
      <c r="F17" s="19" t="s">
        <v>319</v>
      </c>
      <c r="G17" s="19" t="s">
        <v>310</v>
      </c>
      <c r="H17" s="19" t="s">
        <v>320</v>
      </c>
      <c r="I17" s="22">
        <f>SUMIF(Detalle_Pedidos!$A:$A,A17,Detalle_Pedidos!$F:$F)</f>
        <v>140550</v>
      </c>
      <c r="J17" s="22">
        <f>SUMIF(Detalle_Pedidos!$A:$A,A17,Detalle_Pedidos!$H:$H)</f>
        <v>23630</v>
      </c>
      <c r="K17" s="23">
        <f t="shared" si="1"/>
        <v>0.1681252223</v>
      </c>
      <c r="L17" s="19" t="s">
        <v>305</v>
      </c>
    </row>
    <row r="18">
      <c r="A18" s="19" t="s">
        <v>327</v>
      </c>
      <c r="B18" s="24">
        <v>46144.0</v>
      </c>
      <c r="C18" s="19" t="s">
        <v>93</v>
      </c>
      <c r="D18" s="19" t="s">
        <v>20</v>
      </c>
      <c r="E18" s="19" t="s">
        <v>97</v>
      </c>
      <c r="F18" s="19" t="s">
        <v>303</v>
      </c>
      <c r="G18" s="19" t="s">
        <v>315</v>
      </c>
      <c r="H18" s="19" t="s">
        <v>304</v>
      </c>
      <c r="I18" s="22">
        <f>SUMIF(Detalle_Pedidos!$A:$A,A18,Detalle_Pedidos!$F:$F)</f>
        <v>56334</v>
      </c>
      <c r="J18" s="22">
        <f>SUMIF(Detalle_Pedidos!$A:$A,A18,Detalle_Pedidos!$H:$H)</f>
        <v>12584</v>
      </c>
      <c r="K18" s="23">
        <f t="shared" si="1"/>
        <v>0.2233819718</v>
      </c>
      <c r="L18" s="19" t="s">
        <v>305</v>
      </c>
    </row>
    <row r="19">
      <c r="A19" s="19" t="s">
        <v>328</v>
      </c>
      <c r="B19" s="24">
        <v>46148.0</v>
      </c>
      <c r="C19" s="19" t="s">
        <v>84</v>
      </c>
      <c r="D19" s="19" t="s">
        <v>18</v>
      </c>
      <c r="E19" s="19" t="s">
        <v>76</v>
      </c>
      <c r="F19" s="19" t="s">
        <v>40</v>
      </c>
      <c r="G19" s="19" t="s">
        <v>310</v>
      </c>
      <c r="H19" s="19" t="s">
        <v>42</v>
      </c>
      <c r="I19" s="22">
        <f>SUMIF(Detalle_Pedidos!$A:$A,A19,Detalle_Pedidos!$F:$F)</f>
        <v>227970</v>
      </c>
      <c r="J19" s="22">
        <f>SUMIF(Detalle_Pedidos!$A:$A,A19,Detalle_Pedidos!$H:$H)</f>
        <v>37470</v>
      </c>
      <c r="K19" s="23">
        <f t="shared" si="1"/>
        <v>0.1643637321</v>
      </c>
      <c r="L19" s="19" t="s">
        <v>305</v>
      </c>
    </row>
    <row r="20">
      <c r="A20" s="19" t="s">
        <v>329</v>
      </c>
      <c r="B20" s="24">
        <v>46144.0</v>
      </c>
      <c r="C20" s="19" t="s">
        <v>84</v>
      </c>
      <c r="D20" s="19" t="s">
        <v>18</v>
      </c>
      <c r="E20" s="19" t="s">
        <v>76</v>
      </c>
      <c r="F20" s="19" t="s">
        <v>319</v>
      </c>
      <c r="G20" s="19" t="s">
        <v>292</v>
      </c>
      <c r="H20" s="19" t="s">
        <v>320</v>
      </c>
      <c r="I20" s="22">
        <f>SUMIF(Detalle_Pedidos!$A:$A,A20,Detalle_Pedidos!$F:$F)</f>
        <v>100961</v>
      </c>
      <c r="J20" s="22">
        <f>SUMIF(Detalle_Pedidos!$A:$A,A20,Detalle_Pedidos!$H:$H)</f>
        <v>17201</v>
      </c>
      <c r="K20" s="23">
        <f t="shared" si="1"/>
        <v>0.1703727182</v>
      </c>
      <c r="L20" s="19" t="s">
        <v>305</v>
      </c>
    </row>
    <row r="21" ht="15.75" customHeight="1">
      <c r="A21" s="19" t="s">
        <v>330</v>
      </c>
      <c r="B21" s="24">
        <v>46154.0</v>
      </c>
      <c r="C21" s="19" t="s">
        <v>144</v>
      </c>
      <c r="D21" s="19" t="s">
        <v>20</v>
      </c>
      <c r="E21" s="19" t="s">
        <v>148</v>
      </c>
      <c r="F21" s="19" t="s">
        <v>303</v>
      </c>
      <c r="G21" s="19" t="s">
        <v>307</v>
      </c>
      <c r="H21" s="19" t="s">
        <v>304</v>
      </c>
      <c r="I21" s="22">
        <f>SUMIF(Detalle_Pedidos!$A:$A,A21,Detalle_Pedidos!$F:$F)</f>
        <v>126274</v>
      </c>
      <c r="J21" s="22">
        <f>SUMIF(Detalle_Pedidos!$A:$A,A21,Detalle_Pedidos!$H:$H)</f>
        <v>29524</v>
      </c>
      <c r="K21" s="23">
        <f t="shared" si="1"/>
        <v>0.2338090185</v>
      </c>
      <c r="L21" s="19" t="s">
        <v>305</v>
      </c>
    </row>
    <row r="22" ht="15.75" customHeight="1">
      <c r="A22" s="19" t="s">
        <v>331</v>
      </c>
      <c r="B22" s="24">
        <v>46155.0</v>
      </c>
      <c r="C22" s="19" t="s">
        <v>309</v>
      </c>
      <c r="D22" s="19" t="s">
        <v>18</v>
      </c>
      <c r="E22" s="19" t="s">
        <v>109</v>
      </c>
      <c r="F22" s="19" t="s">
        <v>303</v>
      </c>
      <c r="G22" s="19" t="s">
        <v>315</v>
      </c>
      <c r="H22" s="19" t="s">
        <v>304</v>
      </c>
      <c r="I22" s="22">
        <f>SUMIF(Detalle_Pedidos!$A:$A,A22,Detalle_Pedidos!$F:$F)</f>
        <v>171270</v>
      </c>
      <c r="J22" s="22">
        <f>SUMIF(Detalle_Pedidos!$A:$A,A22,Detalle_Pedidos!$H:$H)</f>
        <v>42630</v>
      </c>
      <c r="K22" s="23">
        <f t="shared" si="1"/>
        <v>0.2489052373</v>
      </c>
      <c r="L22" s="19" t="s">
        <v>305</v>
      </c>
    </row>
    <row r="23" ht="15.75" customHeight="1">
      <c r="A23" s="19" t="s">
        <v>332</v>
      </c>
      <c r="B23" s="24">
        <v>46155.0</v>
      </c>
      <c r="C23" s="19" t="s">
        <v>154</v>
      </c>
      <c r="D23" s="19" t="s">
        <v>24</v>
      </c>
      <c r="E23" s="19" t="s">
        <v>158</v>
      </c>
      <c r="F23" s="19" t="s">
        <v>303</v>
      </c>
      <c r="G23" s="19" t="s">
        <v>315</v>
      </c>
      <c r="H23" s="19" t="s">
        <v>42</v>
      </c>
      <c r="I23" s="22">
        <f>SUMIF(Detalle_Pedidos!$A:$A,A23,Detalle_Pedidos!$F:$F)</f>
        <v>169852.5</v>
      </c>
      <c r="J23" s="22">
        <f>SUMIF(Detalle_Pedidos!$A:$A,A23,Detalle_Pedidos!$H:$H)</f>
        <v>37882.5</v>
      </c>
      <c r="K23" s="23">
        <f t="shared" si="1"/>
        <v>0.2230317481</v>
      </c>
      <c r="L23" s="19" t="s">
        <v>305</v>
      </c>
    </row>
    <row r="24" ht="15.75" customHeight="1">
      <c r="A24" s="19" t="s">
        <v>333</v>
      </c>
      <c r="B24" s="24">
        <v>46148.0</v>
      </c>
      <c r="C24" s="19" t="s">
        <v>144</v>
      </c>
      <c r="D24" s="19" t="s">
        <v>20</v>
      </c>
      <c r="E24" s="19" t="s">
        <v>148</v>
      </c>
      <c r="F24" s="19" t="s">
        <v>40</v>
      </c>
      <c r="G24" s="19" t="s">
        <v>310</v>
      </c>
      <c r="H24" s="19" t="s">
        <v>312</v>
      </c>
      <c r="I24" s="22">
        <f>SUMIF(Detalle_Pedidos!$A:$A,A24,Detalle_Pedidos!$F:$F)</f>
        <v>121666</v>
      </c>
      <c r="J24" s="22">
        <f>SUMIF(Detalle_Pedidos!$A:$A,A24,Detalle_Pedidos!$H:$H)</f>
        <v>33626</v>
      </c>
      <c r="K24" s="23">
        <f t="shared" si="1"/>
        <v>0.2763795966</v>
      </c>
      <c r="L24" s="19" t="s">
        <v>305</v>
      </c>
    </row>
    <row r="25" ht="15.75" customHeight="1">
      <c r="A25" s="4"/>
      <c r="B25" s="26"/>
      <c r="C25" s="4"/>
      <c r="D25" s="4"/>
      <c r="E25" s="4"/>
      <c r="F25" s="4"/>
      <c r="G25" s="4"/>
      <c r="H25" s="4"/>
      <c r="I25" s="12"/>
      <c r="J25" s="12"/>
      <c r="K25" s="25"/>
      <c r="L25" s="4"/>
    </row>
    <row r="26" ht="15.75" customHeight="1">
      <c r="A26" s="4"/>
      <c r="B26" s="26"/>
      <c r="C26" s="4"/>
      <c r="D26" s="4"/>
      <c r="E26" s="4"/>
      <c r="F26" s="4"/>
      <c r="G26" s="4"/>
      <c r="H26" s="4"/>
      <c r="I26" s="12"/>
      <c r="J26" s="12"/>
      <c r="K26" s="25"/>
      <c r="L26" s="4"/>
    </row>
    <row r="27" ht="15.75" customHeight="1">
      <c r="A27" s="4"/>
      <c r="B27" s="26"/>
      <c r="C27" s="4"/>
      <c r="D27" s="4"/>
      <c r="E27" s="4"/>
      <c r="F27" s="4"/>
      <c r="G27" s="4"/>
      <c r="H27" s="4"/>
      <c r="I27" s="12"/>
      <c r="J27" s="12"/>
      <c r="K27" s="25"/>
      <c r="L27" s="4"/>
    </row>
    <row r="28" ht="15.75" customHeight="1">
      <c r="A28" s="4"/>
      <c r="B28" s="26"/>
      <c r="C28" s="4"/>
      <c r="D28" s="4"/>
      <c r="E28" s="4"/>
      <c r="F28" s="4"/>
      <c r="G28" s="4"/>
      <c r="H28" s="4"/>
      <c r="I28" s="12"/>
      <c r="J28" s="12"/>
      <c r="K28" s="25"/>
      <c r="L28" s="4"/>
    </row>
    <row r="29" ht="15.75" customHeight="1">
      <c r="A29" s="4"/>
      <c r="B29" s="26"/>
      <c r="C29" s="4"/>
      <c r="D29" s="4"/>
      <c r="E29" s="4"/>
      <c r="F29" s="4"/>
      <c r="G29" s="4"/>
      <c r="H29" s="4"/>
      <c r="I29" s="12"/>
      <c r="J29" s="12"/>
      <c r="K29" s="25"/>
      <c r="L29" s="4"/>
    </row>
    <row r="30" ht="15.75" customHeight="1">
      <c r="A30" s="4"/>
      <c r="B30" s="26"/>
      <c r="C30" s="4"/>
      <c r="D30" s="4"/>
      <c r="E30" s="4"/>
      <c r="F30" s="4"/>
      <c r="G30" s="4"/>
      <c r="H30" s="4"/>
      <c r="I30" s="12"/>
      <c r="J30" s="12"/>
      <c r="K30" s="25"/>
      <c r="L30" s="4"/>
    </row>
    <row r="31" ht="15.75" customHeight="1">
      <c r="A31" s="4"/>
      <c r="B31" s="26"/>
      <c r="C31" s="4"/>
      <c r="D31" s="4"/>
      <c r="E31" s="4"/>
      <c r="F31" s="4"/>
      <c r="G31" s="4"/>
      <c r="H31" s="4"/>
      <c r="I31" s="12"/>
      <c r="J31" s="12"/>
      <c r="K31" s="25"/>
      <c r="L31" s="4"/>
    </row>
    <row r="32" ht="15.75" customHeight="1">
      <c r="A32" s="4"/>
      <c r="B32" s="26"/>
      <c r="C32" s="4"/>
      <c r="D32" s="4"/>
      <c r="E32" s="4"/>
      <c r="F32" s="4"/>
      <c r="G32" s="4"/>
      <c r="H32" s="4"/>
      <c r="I32" s="12"/>
      <c r="J32" s="12"/>
      <c r="K32" s="25"/>
      <c r="L32" s="4"/>
    </row>
    <row r="33" ht="15.75" customHeight="1">
      <c r="A33" s="4"/>
      <c r="B33" s="26"/>
      <c r="C33" s="4"/>
      <c r="D33" s="4"/>
      <c r="E33" s="4"/>
      <c r="F33" s="4"/>
      <c r="G33" s="4"/>
      <c r="H33" s="4"/>
      <c r="I33" s="12"/>
      <c r="J33" s="12"/>
      <c r="K33" s="25"/>
      <c r="L33" s="4"/>
    </row>
    <row r="34" ht="15.75" customHeight="1">
      <c r="A34" s="4"/>
      <c r="B34" s="26"/>
      <c r="C34" s="4"/>
      <c r="D34" s="4"/>
      <c r="E34" s="4"/>
      <c r="F34" s="4"/>
      <c r="G34" s="4"/>
      <c r="H34" s="4"/>
      <c r="I34" s="12"/>
      <c r="J34" s="12"/>
      <c r="K34" s="25"/>
      <c r="L34" s="4"/>
    </row>
    <row r="35" ht="15.75" customHeight="1">
      <c r="A35" s="4"/>
      <c r="B35" s="26"/>
      <c r="C35" s="4"/>
      <c r="D35" s="4"/>
      <c r="E35" s="4"/>
      <c r="F35" s="4"/>
      <c r="G35" s="4"/>
      <c r="H35" s="4"/>
      <c r="I35" s="12"/>
      <c r="J35" s="12"/>
      <c r="K35" s="25"/>
      <c r="L35" s="4"/>
    </row>
    <row r="36" ht="15.75" customHeight="1">
      <c r="A36" s="4"/>
      <c r="B36" s="26"/>
      <c r="C36" s="4"/>
      <c r="D36" s="4"/>
      <c r="E36" s="4"/>
      <c r="F36" s="4"/>
      <c r="G36" s="4"/>
      <c r="H36" s="4"/>
      <c r="I36" s="12"/>
      <c r="J36" s="12"/>
      <c r="K36" s="25"/>
      <c r="L36" s="4"/>
    </row>
    <row r="37" ht="15.75" customHeight="1">
      <c r="A37" s="4"/>
      <c r="B37" s="26"/>
      <c r="C37" s="4"/>
      <c r="D37" s="4"/>
      <c r="E37" s="4"/>
      <c r="F37" s="4"/>
      <c r="G37" s="4"/>
      <c r="H37" s="4"/>
      <c r="I37" s="12"/>
      <c r="J37" s="12"/>
      <c r="K37" s="25"/>
      <c r="L37" s="4"/>
    </row>
    <row r="38" ht="15.75" customHeight="1">
      <c r="A38" s="4"/>
      <c r="B38" s="26"/>
      <c r="C38" s="4"/>
      <c r="D38" s="4"/>
      <c r="E38" s="4"/>
      <c r="F38" s="4"/>
      <c r="G38" s="4"/>
      <c r="H38" s="4"/>
      <c r="I38" s="12"/>
      <c r="J38" s="12"/>
      <c r="K38" s="25"/>
      <c r="L38" s="4"/>
    </row>
    <row r="39" ht="15.75" customHeight="1">
      <c r="A39" s="4"/>
      <c r="B39" s="26"/>
      <c r="C39" s="4"/>
      <c r="D39" s="4"/>
      <c r="E39" s="4"/>
      <c r="F39" s="4"/>
      <c r="G39" s="4"/>
      <c r="H39" s="4"/>
      <c r="I39" s="12"/>
      <c r="J39" s="12"/>
      <c r="K39" s="25"/>
      <c r="L39" s="4"/>
    </row>
    <row r="40" ht="15.75" customHeight="1">
      <c r="A40" s="4"/>
      <c r="B40" s="26"/>
      <c r="C40" s="4"/>
      <c r="D40" s="4"/>
      <c r="E40" s="4"/>
      <c r="F40" s="4"/>
      <c r="G40" s="4"/>
      <c r="H40" s="4"/>
      <c r="I40" s="12"/>
      <c r="J40" s="12"/>
      <c r="K40" s="25"/>
      <c r="L40" s="4"/>
    </row>
    <row r="41" ht="15.75" customHeight="1">
      <c r="A41" s="4"/>
      <c r="B41" s="26"/>
      <c r="C41" s="4"/>
      <c r="D41" s="4"/>
      <c r="E41" s="4"/>
      <c r="F41" s="4"/>
      <c r="G41" s="4"/>
      <c r="H41" s="4"/>
      <c r="I41" s="12"/>
      <c r="J41" s="12"/>
      <c r="K41" s="25"/>
      <c r="L41" s="4"/>
    </row>
    <row r="42" ht="15.75" customHeight="1">
      <c r="A42" s="4"/>
      <c r="B42" s="26"/>
      <c r="C42" s="4"/>
      <c r="D42" s="4"/>
      <c r="E42" s="4"/>
      <c r="F42" s="4"/>
      <c r="G42" s="4"/>
      <c r="H42" s="4"/>
      <c r="I42" s="12"/>
      <c r="J42" s="12"/>
      <c r="K42" s="25"/>
      <c r="L42" s="4"/>
    </row>
    <row r="43" ht="15.75" customHeight="1">
      <c r="A43" s="4"/>
      <c r="B43" s="26"/>
      <c r="C43" s="4"/>
      <c r="D43" s="4"/>
      <c r="E43" s="4"/>
      <c r="F43" s="4"/>
      <c r="G43" s="4"/>
      <c r="H43" s="4"/>
      <c r="I43" s="12"/>
      <c r="J43" s="12"/>
      <c r="K43" s="25"/>
      <c r="L43" s="4"/>
    </row>
    <row r="44" ht="15.75" customHeight="1">
      <c r="A44" s="4"/>
      <c r="B44" s="26"/>
      <c r="C44" s="4"/>
      <c r="D44" s="4"/>
      <c r="E44" s="4"/>
      <c r="F44" s="4"/>
      <c r="G44" s="4"/>
      <c r="H44" s="4"/>
      <c r="I44" s="12"/>
      <c r="J44" s="12"/>
      <c r="K44" s="25"/>
      <c r="L44" s="4"/>
    </row>
    <row r="45" ht="15.75" customHeight="1">
      <c r="A45" s="4"/>
      <c r="B45" s="26"/>
      <c r="C45" s="4"/>
      <c r="D45" s="4"/>
      <c r="E45" s="4"/>
      <c r="F45" s="4"/>
      <c r="G45" s="4"/>
      <c r="H45" s="4"/>
      <c r="I45" s="12"/>
      <c r="J45" s="12"/>
      <c r="K45" s="25"/>
      <c r="L45" s="4"/>
    </row>
    <row r="46" ht="15.75" customHeight="1">
      <c r="A46" s="4"/>
      <c r="B46" s="26"/>
      <c r="C46" s="4"/>
      <c r="D46" s="4"/>
      <c r="E46" s="4"/>
      <c r="F46" s="4"/>
      <c r="G46" s="4"/>
      <c r="H46" s="4"/>
      <c r="I46" s="12"/>
      <c r="J46" s="12"/>
      <c r="K46" s="25"/>
      <c r="L46" s="4"/>
    </row>
    <row r="47" ht="15.75" customHeight="1">
      <c r="A47" s="4"/>
      <c r="B47" s="26"/>
      <c r="C47" s="4"/>
      <c r="D47" s="4"/>
      <c r="E47" s="4"/>
      <c r="F47" s="4"/>
      <c r="G47" s="4"/>
      <c r="H47" s="4"/>
      <c r="I47" s="12"/>
      <c r="J47" s="12"/>
      <c r="K47" s="25"/>
      <c r="L47" s="4"/>
    </row>
    <row r="48" ht="15.75" customHeight="1">
      <c r="A48" s="4"/>
      <c r="B48" s="26"/>
      <c r="C48" s="4"/>
      <c r="D48" s="4"/>
      <c r="E48" s="4"/>
      <c r="F48" s="4"/>
      <c r="G48" s="4"/>
      <c r="H48" s="4"/>
      <c r="I48" s="12"/>
      <c r="J48" s="12"/>
      <c r="K48" s="25"/>
      <c r="L48" s="4"/>
    </row>
    <row r="49" ht="15.75" customHeight="1">
      <c r="A49" s="4"/>
      <c r="B49" s="26"/>
      <c r="C49" s="4"/>
      <c r="D49" s="4"/>
      <c r="E49" s="4"/>
      <c r="F49" s="4"/>
      <c r="G49" s="4"/>
      <c r="H49" s="4"/>
      <c r="I49" s="12"/>
      <c r="J49" s="12"/>
      <c r="K49" s="25"/>
      <c r="L49" s="4"/>
    </row>
    <row r="50" ht="15.75" customHeight="1">
      <c r="A50" s="4"/>
      <c r="B50" s="26"/>
      <c r="C50" s="4"/>
      <c r="D50" s="4"/>
      <c r="E50" s="4"/>
      <c r="F50" s="4"/>
      <c r="G50" s="4"/>
      <c r="H50" s="4"/>
      <c r="I50" s="12"/>
      <c r="J50" s="12"/>
      <c r="K50" s="25"/>
      <c r="L50" s="4"/>
    </row>
    <row r="51" ht="15.75" customHeight="1">
      <c r="A51" s="4"/>
      <c r="B51" s="26"/>
      <c r="C51" s="4"/>
      <c r="D51" s="4"/>
      <c r="E51" s="4"/>
      <c r="F51" s="4"/>
      <c r="G51" s="4"/>
      <c r="H51" s="4"/>
      <c r="I51" s="12"/>
      <c r="J51" s="12"/>
      <c r="K51" s="25"/>
      <c r="L51" s="4"/>
    </row>
    <row r="52" ht="15.75" customHeight="1">
      <c r="A52" s="4"/>
      <c r="B52" s="26"/>
      <c r="C52" s="4"/>
      <c r="D52" s="4"/>
      <c r="E52" s="4"/>
      <c r="F52" s="4"/>
      <c r="G52" s="4"/>
      <c r="H52" s="4"/>
      <c r="I52" s="12"/>
      <c r="J52" s="12"/>
      <c r="K52" s="25"/>
      <c r="L52" s="4"/>
    </row>
    <row r="53" ht="15.75" customHeight="1">
      <c r="A53" s="4"/>
      <c r="B53" s="26"/>
      <c r="C53" s="4"/>
      <c r="D53" s="4"/>
      <c r="E53" s="4"/>
      <c r="F53" s="4"/>
      <c r="G53" s="4"/>
      <c r="H53" s="4"/>
      <c r="I53" s="12"/>
      <c r="J53" s="12"/>
      <c r="K53" s="25"/>
      <c r="L53" s="4"/>
    </row>
    <row r="54" ht="15.75" customHeight="1">
      <c r="A54" s="4"/>
      <c r="B54" s="26"/>
      <c r="C54" s="4"/>
      <c r="D54" s="4"/>
      <c r="E54" s="4"/>
      <c r="F54" s="4"/>
      <c r="G54" s="4"/>
      <c r="H54" s="4"/>
      <c r="I54" s="12"/>
      <c r="J54" s="12"/>
      <c r="K54" s="25"/>
      <c r="L54" s="4"/>
    </row>
    <row r="55" ht="15.75" customHeight="1">
      <c r="A55" s="4"/>
      <c r="B55" s="26"/>
      <c r="C55" s="4"/>
      <c r="D55" s="4"/>
      <c r="E55" s="4"/>
      <c r="F55" s="4"/>
      <c r="G55" s="4"/>
      <c r="H55" s="4"/>
      <c r="I55" s="12"/>
      <c r="J55" s="12"/>
      <c r="K55" s="25"/>
      <c r="L55" s="4"/>
    </row>
    <row r="56" ht="15.75" customHeight="1">
      <c r="A56" s="4"/>
      <c r="B56" s="26"/>
      <c r="C56" s="4"/>
      <c r="D56" s="4"/>
      <c r="E56" s="4"/>
      <c r="F56" s="4"/>
      <c r="G56" s="4"/>
      <c r="H56" s="4"/>
      <c r="I56" s="12"/>
      <c r="J56" s="12"/>
      <c r="K56" s="25"/>
      <c r="L56" s="4"/>
    </row>
    <row r="57" ht="15.75" customHeight="1">
      <c r="A57" s="4"/>
      <c r="B57" s="26"/>
      <c r="C57" s="4"/>
      <c r="D57" s="4"/>
      <c r="E57" s="4"/>
      <c r="F57" s="4"/>
      <c r="G57" s="4"/>
      <c r="H57" s="4"/>
      <c r="I57" s="12"/>
      <c r="J57" s="12"/>
      <c r="K57" s="25"/>
      <c r="L57" s="4"/>
    </row>
    <row r="58" ht="15.75" customHeight="1">
      <c r="A58" s="4"/>
      <c r="B58" s="26"/>
      <c r="C58" s="4"/>
      <c r="D58" s="4"/>
      <c r="E58" s="4"/>
      <c r="F58" s="4"/>
      <c r="G58" s="4"/>
      <c r="H58" s="4"/>
      <c r="I58" s="12"/>
      <c r="J58" s="12"/>
      <c r="K58" s="25"/>
      <c r="L58" s="4"/>
    </row>
    <row r="59" ht="15.75" customHeight="1">
      <c r="A59" s="4"/>
      <c r="B59" s="26"/>
      <c r="C59" s="4"/>
      <c r="D59" s="4"/>
      <c r="E59" s="4"/>
      <c r="F59" s="4"/>
      <c r="G59" s="4"/>
      <c r="H59" s="4"/>
      <c r="I59" s="12"/>
      <c r="J59" s="12"/>
      <c r="K59" s="25"/>
      <c r="L59" s="4"/>
    </row>
    <row r="60" ht="15.75" customHeight="1">
      <c r="A60" s="4"/>
      <c r="B60" s="26"/>
      <c r="C60" s="4"/>
      <c r="D60" s="4"/>
      <c r="E60" s="4"/>
      <c r="F60" s="4"/>
      <c r="G60" s="4"/>
      <c r="H60" s="4"/>
      <c r="I60" s="12"/>
      <c r="J60" s="12"/>
      <c r="K60" s="25"/>
      <c r="L60" s="4"/>
    </row>
    <row r="61" ht="15.75" customHeight="1">
      <c r="A61" s="4"/>
      <c r="B61" s="26"/>
      <c r="C61" s="4"/>
      <c r="D61" s="4"/>
      <c r="E61" s="4"/>
      <c r="F61" s="4"/>
      <c r="G61" s="4"/>
      <c r="H61" s="4"/>
      <c r="I61" s="12"/>
      <c r="J61" s="12"/>
      <c r="K61" s="25"/>
      <c r="L61" s="4"/>
    </row>
    <row r="62" ht="15.75" customHeight="1">
      <c r="A62" s="4"/>
      <c r="B62" s="26"/>
      <c r="C62" s="4"/>
      <c r="D62" s="4"/>
      <c r="E62" s="4"/>
      <c r="F62" s="4"/>
      <c r="G62" s="4"/>
      <c r="H62" s="4"/>
      <c r="I62" s="12"/>
      <c r="J62" s="12"/>
      <c r="K62" s="25"/>
      <c r="L62" s="4"/>
    </row>
    <row r="63" ht="15.75" customHeight="1">
      <c r="A63" s="4"/>
      <c r="B63" s="26"/>
      <c r="C63" s="4"/>
      <c r="D63" s="4"/>
      <c r="E63" s="4"/>
      <c r="F63" s="4"/>
      <c r="G63" s="4"/>
      <c r="H63" s="4"/>
      <c r="I63" s="12"/>
      <c r="J63" s="12"/>
      <c r="K63" s="25"/>
      <c r="L63" s="4"/>
    </row>
    <row r="64" ht="15.75" customHeight="1">
      <c r="A64" s="4"/>
      <c r="B64" s="26"/>
      <c r="C64" s="4"/>
      <c r="D64" s="4"/>
      <c r="E64" s="4"/>
      <c r="F64" s="4"/>
      <c r="G64" s="4"/>
      <c r="H64" s="4"/>
      <c r="I64" s="12"/>
      <c r="J64" s="12"/>
      <c r="K64" s="25"/>
      <c r="L64" s="4"/>
    </row>
    <row r="65" ht="15.75" customHeight="1">
      <c r="A65" s="4"/>
      <c r="B65" s="26"/>
      <c r="C65" s="4"/>
      <c r="D65" s="4"/>
      <c r="E65" s="4"/>
      <c r="F65" s="4"/>
      <c r="G65" s="4"/>
      <c r="H65" s="4"/>
      <c r="I65" s="12"/>
      <c r="J65" s="12"/>
      <c r="K65" s="25"/>
      <c r="L65" s="4"/>
    </row>
    <row r="66" ht="15.75" customHeight="1">
      <c r="A66" s="4"/>
      <c r="B66" s="26"/>
      <c r="C66" s="4"/>
      <c r="D66" s="4"/>
      <c r="E66" s="4"/>
      <c r="F66" s="4"/>
      <c r="G66" s="4"/>
      <c r="H66" s="4"/>
      <c r="I66" s="12"/>
      <c r="J66" s="12"/>
      <c r="K66" s="25"/>
      <c r="L66" s="4"/>
    </row>
    <row r="67" ht="15.75" customHeight="1">
      <c r="A67" s="4"/>
      <c r="B67" s="26"/>
      <c r="C67" s="4"/>
      <c r="D67" s="4"/>
      <c r="E67" s="4"/>
      <c r="F67" s="4"/>
      <c r="G67" s="4"/>
      <c r="H67" s="4"/>
      <c r="I67" s="12"/>
      <c r="J67" s="12"/>
      <c r="K67" s="25"/>
      <c r="L67" s="4"/>
    </row>
    <row r="68" ht="15.75" customHeight="1">
      <c r="A68" s="4"/>
      <c r="B68" s="26"/>
      <c r="C68" s="4"/>
      <c r="D68" s="4"/>
      <c r="E68" s="4"/>
      <c r="F68" s="4"/>
      <c r="G68" s="4"/>
      <c r="H68" s="4"/>
      <c r="I68" s="12"/>
      <c r="J68" s="12"/>
      <c r="K68" s="25"/>
      <c r="L68" s="4"/>
    </row>
    <row r="69" ht="15.75" customHeight="1">
      <c r="A69" s="4"/>
      <c r="B69" s="26"/>
      <c r="C69" s="4"/>
      <c r="D69" s="4"/>
      <c r="E69" s="4"/>
      <c r="F69" s="4"/>
      <c r="G69" s="4"/>
      <c r="H69" s="4"/>
      <c r="I69" s="12"/>
      <c r="J69" s="12"/>
      <c r="K69" s="25"/>
      <c r="L69" s="4"/>
    </row>
    <row r="70" ht="15.75" customHeight="1">
      <c r="A70" s="4"/>
      <c r="B70" s="26"/>
      <c r="C70" s="4"/>
      <c r="D70" s="4"/>
      <c r="E70" s="4"/>
      <c r="F70" s="4"/>
      <c r="G70" s="4"/>
      <c r="H70" s="4"/>
      <c r="I70" s="12"/>
      <c r="J70" s="12"/>
      <c r="K70" s="25"/>
      <c r="L70" s="4"/>
    </row>
    <row r="71" ht="15.75" customHeight="1">
      <c r="A71" s="4"/>
      <c r="B71" s="26"/>
      <c r="C71" s="4"/>
      <c r="D71" s="4"/>
      <c r="E71" s="4"/>
      <c r="F71" s="4"/>
      <c r="G71" s="4"/>
      <c r="H71" s="4"/>
      <c r="I71" s="12"/>
      <c r="J71" s="12"/>
      <c r="K71" s="25"/>
      <c r="L71" s="4"/>
    </row>
    <row r="72" ht="15.75" customHeight="1">
      <c r="A72" s="4"/>
      <c r="B72" s="26"/>
      <c r="C72" s="4"/>
      <c r="D72" s="4"/>
      <c r="E72" s="4"/>
      <c r="F72" s="4"/>
      <c r="G72" s="4"/>
      <c r="H72" s="4"/>
      <c r="I72" s="12"/>
      <c r="J72" s="12"/>
      <c r="K72" s="25"/>
      <c r="L72" s="4"/>
    </row>
    <row r="73" ht="15.75" customHeight="1">
      <c r="A73" s="4"/>
      <c r="B73" s="26"/>
      <c r="C73" s="4"/>
      <c r="D73" s="4"/>
      <c r="E73" s="4"/>
      <c r="F73" s="4"/>
      <c r="G73" s="4"/>
      <c r="H73" s="4"/>
      <c r="I73" s="12"/>
      <c r="J73" s="12"/>
      <c r="K73" s="25"/>
      <c r="L73" s="4"/>
    </row>
    <row r="74" ht="15.75" customHeight="1">
      <c r="A74" s="4"/>
      <c r="B74" s="26"/>
      <c r="C74" s="4"/>
      <c r="D74" s="4"/>
      <c r="E74" s="4"/>
      <c r="F74" s="4"/>
      <c r="G74" s="4"/>
      <c r="H74" s="4"/>
      <c r="I74" s="12"/>
      <c r="J74" s="12"/>
      <c r="K74" s="25"/>
      <c r="L74" s="4"/>
    </row>
    <row r="75" ht="15.75" customHeight="1">
      <c r="A75" s="4"/>
      <c r="B75" s="26"/>
      <c r="C75" s="4"/>
      <c r="D75" s="4"/>
      <c r="E75" s="4"/>
      <c r="F75" s="4"/>
      <c r="G75" s="4"/>
      <c r="H75" s="4"/>
      <c r="I75" s="12"/>
      <c r="J75" s="12"/>
      <c r="K75" s="25"/>
      <c r="L75" s="4"/>
    </row>
    <row r="76" ht="15.75" customHeight="1">
      <c r="A76" s="4"/>
      <c r="B76" s="26"/>
      <c r="C76" s="4"/>
      <c r="D76" s="4"/>
      <c r="E76" s="4"/>
      <c r="F76" s="4"/>
      <c r="G76" s="4"/>
      <c r="H76" s="4"/>
      <c r="I76" s="12"/>
      <c r="J76" s="12"/>
      <c r="K76" s="25"/>
      <c r="L76" s="4"/>
    </row>
    <row r="77" ht="15.75" customHeight="1">
      <c r="A77" s="4"/>
      <c r="B77" s="26"/>
      <c r="C77" s="4"/>
      <c r="D77" s="4"/>
      <c r="E77" s="4"/>
      <c r="F77" s="4"/>
      <c r="G77" s="4"/>
      <c r="H77" s="4"/>
      <c r="I77" s="12"/>
      <c r="J77" s="12"/>
      <c r="K77" s="25"/>
      <c r="L77" s="4"/>
    </row>
    <row r="78" ht="15.75" customHeight="1">
      <c r="A78" s="4"/>
      <c r="B78" s="26"/>
      <c r="C78" s="4"/>
      <c r="D78" s="4"/>
      <c r="E78" s="4"/>
      <c r="F78" s="4"/>
      <c r="G78" s="4"/>
      <c r="H78" s="4"/>
      <c r="I78" s="12"/>
      <c r="J78" s="12"/>
      <c r="K78" s="25"/>
      <c r="L78" s="4"/>
    </row>
    <row r="79" ht="15.75" customHeight="1">
      <c r="A79" s="4"/>
      <c r="B79" s="26"/>
      <c r="C79" s="4"/>
      <c r="D79" s="4"/>
      <c r="E79" s="4"/>
      <c r="F79" s="4"/>
      <c r="G79" s="4"/>
      <c r="H79" s="4"/>
      <c r="I79" s="12"/>
      <c r="J79" s="12"/>
      <c r="K79" s="25"/>
      <c r="L79" s="4"/>
    </row>
    <row r="80" ht="15.75" customHeight="1">
      <c r="A80" s="4"/>
      <c r="B80" s="26"/>
      <c r="C80" s="4"/>
      <c r="D80" s="4"/>
      <c r="E80" s="4"/>
      <c r="F80" s="4"/>
      <c r="G80" s="4"/>
      <c r="H80" s="4"/>
      <c r="I80" s="12"/>
      <c r="J80" s="12"/>
      <c r="K80" s="25"/>
      <c r="L80" s="4"/>
    </row>
    <row r="81" ht="15.75" customHeight="1">
      <c r="A81" s="4"/>
      <c r="B81" s="26"/>
      <c r="C81" s="4"/>
      <c r="D81" s="4"/>
      <c r="E81" s="4"/>
      <c r="F81" s="4"/>
      <c r="G81" s="4"/>
      <c r="H81" s="4"/>
      <c r="I81" s="12"/>
      <c r="J81" s="12"/>
      <c r="K81" s="25"/>
      <c r="L81" s="4"/>
    </row>
    <row r="82" ht="15.75" customHeight="1">
      <c r="A82" s="4"/>
      <c r="B82" s="26"/>
      <c r="C82" s="4"/>
      <c r="D82" s="4"/>
      <c r="E82" s="4"/>
      <c r="F82" s="4"/>
      <c r="G82" s="4"/>
      <c r="H82" s="4"/>
      <c r="I82" s="12"/>
      <c r="J82" s="12"/>
      <c r="K82" s="25"/>
      <c r="L82" s="4"/>
    </row>
    <row r="83" ht="15.75" customHeight="1">
      <c r="A83" s="4"/>
      <c r="B83" s="26"/>
      <c r="C83" s="4"/>
      <c r="D83" s="4"/>
      <c r="E83" s="4"/>
      <c r="F83" s="4"/>
      <c r="G83" s="4"/>
      <c r="H83" s="4"/>
      <c r="I83" s="12"/>
      <c r="J83" s="12"/>
      <c r="K83" s="25"/>
      <c r="L83" s="4"/>
    </row>
    <row r="84" ht="15.75" customHeight="1">
      <c r="A84" s="4"/>
      <c r="B84" s="26"/>
      <c r="C84" s="4"/>
      <c r="D84" s="4"/>
      <c r="E84" s="4"/>
      <c r="F84" s="4"/>
      <c r="G84" s="4"/>
      <c r="H84" s="4"/>
      <c r="I84" s="12"/>
      <c r="J84" s="12"/>
      <c r="K84" s="25"/>
      <c r="L84" s="4"/>
    </row>
    <row r="85" ht="15.75" customHeight="1">
      <c r="A85" s="4"/>
      <c r="B85" s="26"/>
      <c r="C85" s="4"/>
      <c r="D85" s="4"/>
      <c r="E85" s="4"/>
      <c r="F85" s="4"/>
      <c r="G85" s="4"/>
      <c r="H85" s="4"/>
      <c r="I85" s="12"/>
      <c r="J85" s="12"/>
      <c r="K85" s="25"/>
      <c r="L85" s="4"/>
    </row>
    <row r="86" ht="15.75" customHeight="1">
      <c r="A86" s="4"/>
      <c r="B86" s="26"/>
      <c r="C86" s="4"/>
      <c r="D86" s="4"/>
      <c r="E86" s="4"/>
      <c r="F86" s="4"/>
      <c r="G86" s="4"/>
      <c r="H86" s="4"/>
      <c r="I86" s="12"/>
      <c r="J86" s="12"/>
      <c r="K86" s="25"/>
      <c r="L86" s="4"/>
    </row>
    <row r="87" ht="15.75" customHeight="1">
      <c r="A87" s="4"/>
      <c r="B87" s="26"/>
      <c r="C87" s="4"/>
      <c r="D87" s="4"/>
      <c r="E87" s="4"/>
      <c r="F87" s="4"/>
      <c r="G87" s="4"/>
      <c r="H87" s="4"/>
      <c r="I87" s="12"/>
      <c r="J87" s="12"/>
      <c r="K87" s="25"/>
      <c r="L87" s="4"/>
    </row>
    <row r="88" ht="15.75" customHeight="1">
      <c r="A88" s="4"/>
      <c r="B88" s="26"/>
      <c r="C88" s="4"/>
      <c r="D88" s="4"/>
      <c r="E88" s="4"/>
      <c r="F88" s="4"/>
      <c r="G88" s="4"/>
      <c r="H88" s="4"/>
      <c r="I88" s="12"/>
      <c r="J88" s="12"/>
      <c r="K88" s="25"/>
      <c r="L88" s="4"/>
    </row>
    <row r="89" ht="15.75" customHeight="1">
      <c r="A89" s="4"/>
      <c r="B89" s="26"/>
      <c r="C89" s="4"/>
      <c r="D89" s="4"/>
      <c r="E89" s="4"/>
      <c r="F89" s="4"/>
      <c r="G89" s="4"/>
      <c r="H89" s="4"/>
      <c r="I89" s="12"/>
      <c r="J89" s="12"/>
      <c r="K89" s="25"/>
      <c r="L89" s="4"/>
    </row>
    <row r="90" ht="15.75" customHeight="1">
      <c r="A90" s="4"/>
      <c r="B90" s="26"/>
      <c r="C90" s="4"/>
      <c r="D90" s="4"/>
      <c r="E90" s="4"/>
      <c r="F90" s="4"/>
      <c r="G90" s="4"/>
      <c r="H90" s="4"/>
      <c r="I90" s="12"/>
      <c r="J90" s="12"/>
      <c r="K90" s="25"/>
      <c r="L90" s="4"/>
    </row>
    <row r="91" ht="15.75" customHeight="1">
      <c r="A91" s="4"/>
      <c r="B91" s="26"/>
      <c r="C91" s="4"/>
      <c r="D91" s="4"/>
      <c r="E91" s="4"/>
      <c r="F91" s="4"/>
      <c r="G91" s="4"/>
      <c r="H91" s="4"/>
      <c r="I91" s="12"/>
      <c r="J91" s="12"/>
      <c r="K91" s="25"/>
      <c r="L91" s="4"/>
    </row>
    <row r="92" ht="15.75" customHeight="1">
      <c r="A92" s="4"/>
      <c r="B92" s="26"/>
      <c r="C92" s="4"/>
      <c r="D92" s="4"/>
      <c r="E92" s="4"/>
      <c r="F92" s="4"/>
      <c r="G92" s="4"/>
      <c r="H92" s="4"/>
      <c r="I92" s="12"/>
      <c r="J92" s="12"/>
      <c r="K92" s="25"/>
      <c r="L92" s="4"/>
    </row>
    <row r="93" ht="15.75" customHeight="1">
      <c r="A93" s="4"/>
      <c r="B93" s="26"/>
      <c r="C93" s="4"/>
      <c r="D93" s="4"/>
      <c r="E93" s="4"/>
      <c r="F93" s="4"/>
      <c r="G93" s="4"/>
      <c r="H93" s="4"/>
      <c r="I93" s="12"/>
      <c r="J93" s="12"/>
      <c r="K93" s="25"/>
      <c r="L93" s="4"/>
    </row>
    <row r="94" ht="15.75" customHeight="1">
      <c r="A94" s="4"/>
      <c r="B94" s="26"/>
      <c r="C94" s="4"/>
      <c r="D94" s="4"/>
      <c r="E94" s="4"/>
      <c r="F94" s="4"/>
      <c r="G94" s="4"/>
      <c r="H94" s="4"/>
      <c r="I94" s="12"/>
      <c r="J94" s="12"/>
      <c r="K94" s="25"/>
      <c r="L94" s="4"/>
    </row>
    <row r="95" ht="15.75" customHeight="1">
      <c r="A95" s="4"/>
      <c r="B95" s="26"/>
      <c r="C95" s="4"/>
      <c r="D95" s="4"/>
      <c r="E95" s="4"/>
      <c r="F95" s="4"/>
      <c r="G95" s="4"/>
      <c r="H95" s="4"/>
      <c r="I95" s="12"/>
      <c r="J95" s="12"/>
      <c r="K95" s="25"/>
      <c r="L95" s="4"/>
    </row>
    <row r="96" ht="15.75" customHeight="1">
      <c r="A96" s="4"/>
      <c r="B96" s="26"/>
      <c r="C96" s="4"/>
      <c r="D96" s="4"/>
      <c r="E96" s="4"/>
      <c r="F96" s="4"/>
      <c r="G96" s="4"/>
      <c r="H96" s="4"/>
      <c r="I96" s="12"/>
      <c r="J96" s="12"/>
      <c r="K96" s="25"/>
      <c r="L96" s="4"/>
    </row>
    <row r="97" ht="15.75" customHeight="1">
      <c r="A97" s="4"/>
      <c r="B97" s="26"/>
      <c r="C97" s="4"/>
      <c r="D97" s="4"/>
      <c r="E97" s="4"/>
      <c r="F97" s="4"/>
      <c r="G97" s="4"/>
      <c r="H97" s="4"/>
      <c r="I97" s="12"/>
      <c r="J97" s="12"/>
      <c r="K97" s="25"/>
      <c r="L97" s="4"/>
    </row>
    <row r="98" ht="15.75" customHeight="1">
      <c r="A98" s="4"/>
      <c r="B98" s="26"/>
      <c r="C98" s="4"/>
      <c r="D98" s="4"/>
      <c r="E98" s="4"/>
      <c r="F98" s="4"/>
      <c r="G98" s="4"/>
      <c r="H98" s="4"/>
      <c r="I98" s="12"/>
      <c r="J98" s="12"/>
      <c r="K98" s="25"/>
      <c r="L98" s="4"/>
    </row>
    <row r="99" ht="15.75" customHeight="1">
      <c r="A99" s="4"/>
      <c r="B99" s="26"/>
      <c r="C99" s="4"/>
      <c r="D99" s="4"/>
      <c r="E99" s="4"/>
      <c r="F99" s="4"/>
      <c r="G99" s="4"/>
      <c r="H99" s="4"/>
      <c r="I99" s="12"/>
      <c r="J99" s="12"/>
      <c r="K99" s="25"/>
      <c r="L99" s="4"/>
    </row>
    <row r="100" ht="15.75" customHeight="1">
      <c r="A100" s="4"/>
      <c r="B100" s="26"/>
      <c r="C100" s="4"/>
      <c r="D100" s="4"/>
      <c r="E100" s="4"/>
      <c r="F100" s="4"/>
      <c r="G100" s="4"/>
      <c r="H100" s="4"/>
      <c r="I100" s="12"/>
      <c r="J100" s="12"/>
      <c r="K100" s="25"/>
      <c r="L100" s="4"/>
    </row>
    <row r="101" ht="15.75" customHeight="1">
      <c r="A101" s="4"/>
      <c r="B101" s="26"/>
      <c r="C101" s="4"/>
      <c r="D101" s="4"/>
      <c r="E101" s="4"/>
      <c r="F101" s="4"/>
      <c r="G101" s="4"/>
      <c r="H101" s="4"/>
      <c r="I101" s="12"/>
      <c r="J101" s="12"/>
      <c r="K101" s="25"/>
      <c r="L101" s="4"/>
    </row>
    <row r="102" ht="15.75" customHeight="1">
      <c r="A102" s="4"/>
      <c r="B102" s="26"/>
      <c r="C102" s="4"/>
      <c r="D102" s="4"/>
      <c r="E102" s="4"/>
      <c r="F102" s="4"/>
      <c r="G102" s="4"/>
      <c r="H102" s="4"/>
      <c r="I102" s="12"/>
      <c r="J102" s="12"/>
      <c r="K102" s="25"/>
      <c r="L102" s="4"/>
    </row>
    <row r="103" ht="15.75" customHeight="1">
      <c r="A103" s="4"/>
      <c r="B103" s="26"/>
      <c r="C103" s="4"/>
      <c r="D103" s="4"/>
      <c r="E103" s="4"/>
      <c r="F103" s="4"/>
      <c r="G103" s="4"/>
      <c r="H103" s="4"/>
      <c r="I103" s="12"/>
      <c r="J103" s="12"/>
      <c r="K103" s="25"/>
      <c r="L103" s="4"/>
    </row>
    <row r="104" ht="15.75" customHeight="1">
      <c r="A104" s="4"/>
      <c r="B104" s="26"/>
      <c r="C104" s="4"/>
      <c r="D104" s="4"/>
      <c r="E104" s="4"/>
      <c r="F104" s="4"/>
      <c r="G104" s="4"/>
      <c r="H104" s="4"/>
      <c r="I104" s="12"/>
      <c r="J104" s="12"/>
      <c r="K104" s="25"/>
      <c r="L104" s="4"/>
    </row>
    <row r="105" ht="15.75" customHeight="1">
      <c r="A105" s="4"/>
      <c r="B105" s="26"/>
      <c r="C105" s="4"/>
      <c r="D105" s="4"/>
      <c r="E105" s="4"/>
      <c r="F105" s="4"/>
      <c r="G105" s="4"/>
      <c r="H105" s="4"/>
      <c r="I105" s="12"/>
      <c r="J105" s="12"/>
      <c r="K105" s="25"/>
      <c r="L105" s="4"/>
    </row>
    <row r="106" ht="15.75" customHeight="1">
      <c r="A106" s="4"/>
      <c r="B106" s="26"/>
      <c r="C106" s="4"/>
      <c r="D106" s="4"/>
      <c r="E106" s="4"/>
      <c r="F106" s="4"/>
      <c r="G106" s="4"/>
      <c r="H106" s="4"/>
      <c r="I106" s="12"/>
      <c r="J106" s="12"/>
      <c r="K106" s="25"/>
      <c r="L106" s="4"/>
    </row>
    <row r="107" ht="15.75" customHeight="1">
      <c r="A107" s="4"/>
      <c r="B107" s="26"/>
      <c r="C107" s="4"/>
      <c r="D107" s="4"/>
      <c r="E107" s="4"/>
      <c r="F107" s="4"/>
      <c r="G107" s="4"/>
      <c r="H107" s="4"/>
      <c r="I107" s="12"/>
      <c r="J107" s="12"/>
      <c r="K107" s="25"/>
      <c r="L107" s="4"/>
    </row>
    <row r="108" ht="15.75" customHeight="1">
      <c r="A108" s="4"/>
      <c r="B108" s="26"/>
      <c r="C108" s="4"/>
      <c r="D108" s="4"/>
      <c r="E108" s="4"/>
      <c r="F108" s="4"/>
      <c r="G108" s="4"/>
      <c r="H108" s="4"/>
      <c r="I108" s="12"/>
      <c r="J108" s="12"/>
      <c r="K108" s="25"/>
      <c r="L108" s="4"/>
    </row>
    <row r="109" ht="15.75" customHeight="1">
      <c r="A109" s="4"/>
      <c r="B109" s="26"/>
      <c r="C109" s="4"/>
      <c r="D109" s="4"/>
      <c r="E109" s="4"/>
      <c r="F109" s="4"/>
      <c r="G109" s="4"/>
      <c r="H109" s="4"/>
      <c r="I109" s="12"/>
      <c r="J109" s="12"/>
      <c r="K109" s="25"/>
      <c r="L109" s="4"/>
    </row>
    <row r="110" ht="15.75" customHeight="1">
      <c r="A110" s="4"/>
      <c r="B110" s="26"/>
      <c r="C110" s="4"/>
      <c r="D110" s="4"/>
      <c r="E110" s="4"/>
      <c r="F110" s="4"/>
      <c r="G110" s="4"/>
      <c r="H110" s="4"/>
      <c r="I110" s="12"/>
      <c r="J110" s="12"/>
      <c r="K110" s="25"/>
      <c r="L110" s="4"/>
    </row>
    <row r="111" ht="15.75" customHeight="1">
      <c r="A111" s="4"/>
      <c r="B111" s="26"/>
      <c r="C111" s="4"/>
      <c r="D111" s="4"/>
      <c r="E111" s="4"/>
      <c r="F111" s="4"/>
      <c r="G111" s="4"/>
      <c r="H111" s="4"/>
      <c r="I111" s="12"/>
      <c r="J111" s="12"/>
      <c r="K111" s="25"/>
      <c r="L111" s="4"/>
    </row>
    <row r="112" ht="15.75" customHeight="1">
      <c r="A112" s="4"/>
      <c r="B112" s="26"/>
      <c r="C112" s="4"/>
      <c r="D112" s="4"/>
      <c r="E112" s="4"/>
      <c r="F112" s="4"/>
      <c r="G112" s="4"/>
      <c r="H112" s="4"/>
      <c r="I112" s="12"/>
      <c r="J112" s="12"/>
      <c r="K112" s="25"/>
      <c r="L112" s="4"/>
    </row>
    <row r="113" ht="15.75" customHeight="1">
      <c r="A113" s="4"/>
      <c r="B113" s="26"/>
      <c r="C113" s="4"/>
      <c r="D113" s="4"/>
      <c r="E113" s="4"/>
      <c r="F113" s="4"/>
      <c r="G113" s="4"/>
      <c r="H113" s="4"/>
      <c r="I113" s="12"/>
      <c r="J113" s="12"/>
      <c r="K113" s="25"/>
      <c r="L113" s="4"/>
    </row>
    <row r="114" ht="15.75" customHeight="1">
      <c r="A114" s="4"/>
      <c r="B114" s="26"/>
      <c r="C114" s="4"/>
      <c r="D114" s="4"/>
      <c r="E114" s="4"/>
      <c r="F114" s="4"/>
      <c r="G114" s="4"/>
      <c r="H114" s="4"/>
      <c r="I114" s="12"/>
      <c r="J114" s="12"/>
      <c r="K114" s="25"/>
      <c r="L114" s="4"/>
    </row>
    <row r="115" ht="15.75" customHeight="1">
      <c r="A115" s="4"/>
      <c r="B115" s="26"/>
      <c r="C115" s="4"/>
      <c r="D115" s="4"/>
      <c r="E115" s="4"/>
      <c r="F115" s="4"/>
      <c r="G115" s="4"/>
      <c r="H115" s="4"/>
      <c r="I115" s="12"/>
      <c r="J115" s="12"/>
      <c r="K115" s="25"/>
      <c r="L115" s="4"/>
    </row>
    <row r="116" ht="15.75" customHeight="1">
      <c r="A116" s="4"/>
      <c r="B116" s="26"/>
      <c r="C116" s="4"/>
      <c r="D116" s="4"/>
      <c r="E116" s="4"/>
      <c r="F116" s="4"/>
      <c r="G116" s="4"/>
      <c r="H116" s="4"/>
      <c r="I116" s="12"/>
      <c r="J116" s="12"/>
      <c r="K116" s="25"/>
      <c r="L116" s="4"/>
    </row>
    <row r="117" ht="15.75" customHeight="1">
      <c r="A117" s="4"/>
      <c r="B117" s="26"/>
      <c r="C117" s="4"/>
      <c r="D117" s="4"/>
      <c r="E117" s="4"/>
      <c r="F117" s="4"/>
      <c r="G117" s="4"/>
      <c r="H117" s="4"/>
      <c r="I117" s="12"/>
      <c r="J117" s="12"/>
      <c r="K117" s="25"/>
      <c r="L117" s="4"/>
    </row>
    <row r="118" ht="15.75" customHeight="1">
      <c r="A118" s="4"/>
      <c r="B118" s="26"/>
      <c r="C118" s="4"/>
      <c r="D118" s="4"/>
      <c r="E118" s="4"/>
      <c r="F118" s="4"/>
      <c r="G118" s="4"/>
      <c r="H118" s="4"/>
      <c r="I118" s="12"/>
      <c r="J118" s="12"/>
      <c r="K118" s="25"/>
      <c r="L118" s="4"/>
    </row>
    <row r="119" ht="15.75" customHeight="1">
      <c r="A119" s="4"/>
      <c r="B119" s="26"/>
      <c r="C119" s="4"/>
      <c r="D119" s="4"/>
      <c r="E119" s="4"/>
      <c r="F119" s="4"/>
      <c r="G119" s="4"/>
      <c r="H119" s="4"/>
      <c r="I119" s="12"/>
      <c r="J119" s="12"/>
      <c r="K119" s="25"/>
      <c r="L119" s="4"/>
    </row>
    <row r="120" ht="15.75" customHeight="1">
      <c r="A120" s="4"/>
      <c r="B120" s="26"/>
      <c r="C120" s="4"/>
      <c r="D120" s="4"/>
      <c r="E120" s="4"/>
      <c r="F120" s="4"/>
      <c r="G120" s="4"/>
      <c r="H120" s="4"/>
      <c r="I120" s="12"/>
      <c r="J120" s="12"/>
      <c r="K120" s="25"/>
      <c r="L120" s="4"/>
    </row>
    <row r="121" ht="15.75" customHeight="1">
      <c r="A121" s="4"/>
      <c r="B121" s="26"/>
      <c r="C121" s="4"/>
      <c r="D121" s="4"/>
      <c r="E121" s="4"/>
      <c r="F121" s="4"/>
      <c r="G121" s="4"/>
      <c r="H121" s="4"/>
      <c r="I121" s="12"/>
      <c r="J121" s="12"/>
      <c r="K121" s="25"/>
      <c r="L121" s="4"/>
    </row>
    <row r="122" ht="15.75" customHeight="1">
      <c r="A122" s="4"/>
      <c r="B122" s="26"/>
      <c r="C122" s="4"/>
      <c r="D122" s="4"/>
      <c r="E122" s="4"/>
      <c r="F122" s="4"/>
      <c r="G122" s="4"/>
      <c r="H122" s="4"/>
      <c r="I122" s="12"/>
      <c r="J122" s="12"/>
      <c r="K122" s="25"/>
      <c r="L122" s="4"/>
    </row>
    <row r="123" ht="15.75" customHeight="1">
      <c r="A123" s="4"/>
      <c r="B123" s="26"/>
      <c r="C123" s="4"/>
      <c r="D123" s="4"/>
      <c r="E123" s="4"/>
      <c r="F123" s="4"/>
      <c r="G123" s="4"/>
      <c r="H123" s="4"/>
      <c r="I123" s="12"/>
      <c r="J123" s="12"/>
      <c r="K123" s="25"/>
      <c r="L123" s="4"/>
    </row>
    <row r="124" ht="15.75" customHeight="1">
      <c r="A124" s="4"/>
      <c r="B124" s="26"/>
      <c r="C124" s="4"/>
      <c r="D124" s="4"/>
      <c r="E124" s="4"/>
      <c r="F124" s="4"/>
      <c r="G124" s="4"/>
      <c r="H124" s="4"/>
      <c r="I124" s="12"/>
      <c r="J124" s="12"/>
      <c r="K124" s="25"/>
      <c r="L124" s="4"/>
    </row>
    <row r="125" ht="15.75" customHeight="1">
      <c r="A125" s="4"/>
      <c r="B125" s="26"/>
      <c r="C125" s="4"/>
      <c r="D125" s="4"/>
      <c r="E125" s="4"/>
      <c r="F125" s="4"/>
      <c r="G125" s="4"/>
      <c r="H125" s="4"/>
      <c r="I125" s="12"/>
      <c r="J125" s="12"/>
      <c r="K125" s="25"/>
      <c r="L125" s="4"/>
    </row>
    <row r="126" ht="15.75" customHeight="1">
      <c r="A126" s="4"/>
      <c r="B126" s="26"/>
      <c r="C126" s="4"/>
      <c r="D126" s="4"/>
      <c r="E126" s="4"/>
      <c r="F126" s="4"/>
      <c r="G126" s="4"/>
      <c r="H126" s="4"/>
      <c r="I126" s="12"/>
      <c r="J126" s="12"/>
      <c r="K126" s="25"/>
      <c r="L126" s="4"/>
    </row>
    <row r="127" ht="15.75" customHeight="1">
      <c r="A127" s="4"/>
      <c r="B127" s="26"/>
      <c r="C127" s="4"/>
      <c r="D127" s="4"/>
      <c r="E127" s="4"/>
      <c r="F127" s="4"/>
      <c r="G127" s="4"/>
      <c r="H127" s="4"/>
      <c r="I127" s="12"/>
      <c r="J127" s="12"/>
      <c r="K127" s="25"/>
      <c r="L127" s="4"/>
    </row>
    <row r="128" ht="15.75" customHeight="1">
      <c r="A128" s="4"/>
      <c r="B128" s="26"/>
      <c r="C128" s="4"/>
      <c r="D128" s="4"/>
      <c r="E128" s="4"/>
      <c r="F128" s="4"/>
      <c r="G128" s="4"/>
      <c r="H128" s="4"/>
      <c r="I128" s="12"/>
      <c r="J128" s="12"/>
      <c r="K128" s="25"/>
      <c r="L128" s="4"/>
    </row>
    <row r="129" ht="15.75" customHeight="1">
      <c r="A129" s="4"/>
      <c r="B129" s="26"/>
      <c r="C129" s="4"/>
      <c r="D129" s="4"/>
      <c r="E129" s="4"/>
      <c r="F129" s="4"/>
      <c r="G129" s="4"/>
      <c r="H129" s="4"/>
      <c r="I129" s="12"/>
      <c r="J129" s="12"/>
      <c r="K129" s="25"/>
      <c r="L129" s="4"/>
    </row>
    <row r="130" ht="15.75" customHeight="1">
      <c r="A130" s="4"/>
      <c r="B130" s="26"/>
      <c r="C130" s="4"/>
      <c r="D130" s="4"/>
      <c r="E130" s="4"/>
      <c r="F130" s="4"/>
      <c r="G130" s="4"/>
      <c r="H130" s="4"/>
      <c r="I130" s="12"/>
      <c r="J130" s="12"/>
      <c r="K130" s="25"/>
      <c r="L130" s="4"/>
    </row>
    <row r="131" ht="15.75" customHeight="1">
      <c r="A131" s="4"/>
      <c r="B131" s="26"/>
      <c r="C131" s="4"/>
      <c r="D131" s="4"/>
      <c r="E131" s="4"/>
      <c r="F131" s="4"/>
      <c r="G131" s="4"/>
      <c r="H131" s="4"/>
      <c r="I131" s="12"/>
      <c r="J131" s="12"/>
      <c r="K131" s="25"/>
      <c r="L131" s="4"/>
    </row>
    <row r="132" ht="15.75" customHeight="1">
      <c r="A132" s="4"/>
      <c r="B132" s="26"/>
      <c r="C132" s="4"/>
      <c r="D132" s="4"/>
      <c r="E132" s="4"/>
      <c r="F132" s="4"/>
      <c r="G132" s="4"/>
      <c r="H132" s="4"/>
      <c r="I132" s="12"/>
      <c r="J132" s="12"/>
      <c r="K132" s="25"/>
      <c r="L132" s="4"/>
    </row>
    <row r="133" ht="15.75" customHeight="1">
      <c r="A133" s="4"/>
      <c r="B133" s="26"/>
      <c r="C133" s="4"/>
      <c r="D133" s="4"/>
      <c r="E133" s="4"/>
      <c r="F133" s="4"/>
      <c r="G133" s="4"/>
      <c r="H133" s="4"/>
      <c r="I133" s="12"/>
      <c r="J133" s="12"/>
      <c r="K133" s="25"/>
      <c r="L133" s="4"/>
    </row>
    <row r="134" ht="15.75" customHeight="1">
      <c r="A134" s="4"/>
      <c r="B134" s="26"/>
      <c r="C134" s="4"/>
      <c r="D134" s="4"/>
      <c r="E134" s="4"/>
      <c r="F134" s="4"/>
      <c r="G134" s="4"/>
      <c r="H134" s="4"/>
      <c r="I134" s="12"/>
      <c r="J134" s="12"/>
      <c r="K134" s="25"/>
      <c r="L134" s="4"/>
    </row>
    <row r="135" ht="15.75" customHeight="1">
      <c r="A135" s="4"/>
      <c r="B135" s="26"/>
      <c r="C135" s="4"/>
      <c r="D135" s="4"/>
      <c r="E135" s="4"/>
      <c r="F135" s="4"/>
      <c r="G135" s="4"/>
      <c r="H135" s="4"/>
      <c r="I135" s="12"/>
      <c r="J135" s="12"/>
      <c r="K135" s="25"/>
      <c r="L135" s="4"/>
    </row>
    <row r="136" ht="15.75" customHeight="1">
      <c r="A136" s="4"/>
      <c r="B136" s="26"/>
      <c r="C136" s="4"/>
      <c r="D136" s="4"/>
      <c r="E136" s="4"/>
      <c r="F136" s="4"/>
      <c r="G136" s="4"/>
      <c r="H136" s="4"/>
      <c r="I136" s="12"/>
      <c r="J136" s="12"/>
      <c r="K136" s="25"/>
      <c r="L136" s="4"/>
    </row>
    <row r="137" ht="15.75" customHeight="1">
      <c r="A137" s="4"/>
      <c r="B137" s="26"/>
      <c r="C137" s="4"/>
      <c r="D137" s="4"/>
      <c r="E137" s="4"/>
      <c r="F137" s="4"/>
      <c r="G137" s="4"/>
      <c r="H137" s="4"/>
      <c r="I137" s="12"/>
      <c r="J137" s="12"/>
      <c r="K137" s="25"/>
      <c r="L137" s="4"/>
    </row>
    <row r="138" ht="15.75" customHeight="1">
      <c r="A138" s="4"/>
      <c r="B138" s="26"/>
      <c r="C138" s="4"/>
      <c r="D138" s="4"/>
      <c r="E138" s="4"/>
      <c r="F138" s="4"/>
      <c r="G138" s="4"/>
      <c r="H138" s="4"/>
      <c r="I138" s="12"/>
      <c r="J138" s="12"/>
      <c r="K138" s="25"/>
      <c r="L138" s="4"/>
    </row>
    <row r="139" ht="15.75" customHeight="1">
      <c r="A139" s="4"/>
      <c r="B139" s="26"/>
      <c r="C139" s="4"/>
      <c r="D139" s="4"/>
      <c r="E139" s="4"/>
      <c r="F139" s="4"/>
      <c r="G139" s="4"/>
      <c r="H139" s="4"/>
      <c r="I139" s="12"/>
      <c r="J139" s="12"/>
      <c r="K139" s="25"/>
      <c r="L139" s="4"/>
    </row>
    <row r="140" ht="15.75" customHeight="1">
      <c r="A140" s="4"/>
      <c r="B140" s="26"/>
      <c r="C140" s="4"/>
      <c r="D140" s="4"/>
      <c r="E140" s="4"/>
      <c r="F140" s="4"/>
      <c r="G140" s="4"/>
      <c r="H140" s="4"/>
      <c r="I140" s="12"/>
      <c r="J140" s="12"/>
      <c r="K140" s="25"/>
      <c r="L140" s="4"/>
    </row>
    <row r="141" ht="15.75" customHeight="1">
      <c r="A141" s="4"/>
      <c r="B141" s="26"/>
      <c r="C141" s="4"/>
      <c r="D141" s="4"/>
      <c r="E141" s="4"/>
      <c r="F141" s="4"/>
      <c r="G141" s="4"/>
      <c r="H141" s="4"/>
      <c r="I141" s="12"/>
      <c r="J141" s="12"/>
      <c r="K141" s="25"/>
      <c r="L141" s="4"/>
    </row>
    <row r="142" ht="15.75" customHeight="1">
      <c r="A142" s="4"/>
      <c r="B142" s="26"/>
      <c r="C142" s="4"/>
      <c r="D142" s="4"/>
      <c r="E142" s="4"/>
      <c r="F142" s="4"/>
      <c r="G142" s="4"/>
      <c r="H142" s="4"/>
      <c r="I142" s="12"/>
      <c r="J142" s="12"/>
      <c r="K142" s="25"/>
      <c r="L142" s="4"/>
    </row>
    <row r="143" ht="15.75" customHeight="1">
      <c r="A143" s="4"/>
      <c r="B143" s="26"/>
      <c r="C143" s="4"/>
      <c r="D143" s="4"/>
      <c r="E143" s="4"/>
      <c r="F143" s="4"/>
      <c r="G143" s="4"/>
      <c r="H143" s="4"/>
      <c r="I143" s="12"/>
      <c r="J143" s="12"/>
      <c r="K143" s="25"/>
      <c r="L143" s="4"/>
    </row>
    <row r="144" ht="15.75" customHeight="1">
      <c r="A144" s="4"/>
      <c r="B144" s="26"/>
      <c r="C144" s="4"/>
      <c r="D144" s="4"/>
      <c r="E144" s="4"/>
      <c r="F144" s="4"/>
      <c r="G144" s="4"/>
      <c r="H144" s="4"/>
      <c r="I144" s="12"/>
      <c r="J144" s="12"/>
      <c r="K144" s="25"/>
      <c r="L144" s="4"/>
    </row>
    <row r="145" ht="15.75" customHeight="1">
      <c r="A145" s="4"/>
      <c r="B145" s="26"/>
      <c r="C145" s="4"/>
      <c r="D145" s="4"/>
      <c r="E145" s="4"/>
      <c r="F145" s="4"/>
      <c r="G145" s="4"/>
      <c r="H145" s="4"/>
      <c r="I145" s="12"/>
      <c r="J145" s="12"/>
      <c r="K145" s="25"/>
      <c r="L145" s="4"/>
    </row>
    <row r="146" ht="15.75" customHeight="1">
      <c r="A146" s="4"/>
      <c r="B146" s="26"/>
      <c r="C146" s="4"/>
      <c r="D146" s="4"/>
      <c r="E146" s="4"/>
      <c r="F146" s="4"/>
      <c r="G146" s="4"/>
      <c r="H146" s="4"/>
      <c r="I146" s="12"/>
      <c r="J146" s="12"/>
      <c r="K146" s="25"/>
      <c r="L146" s="4"/>
    </row>
    <row r="147" ht="15.75" customHeight="1">
      <c r="A147" s="4"/>
      <c r="B147" s="26"/>
      <c r="C147" s="4"/>
      <c r="D147" s="4"/>
      <c r="E147" s="4"/>
      <c r="F147" s="4"/>
      <c r="G147" s="4"/>
      <c r="H147" s="4"/>
      <c r="I147" s="12"/>
      <c r="J147" s="12"/>
      <c r="K147" s="25"/>
      <c r="L147" s="4"/>
    </row>
    <row r="148" ht="15.75" customHeight="1">
      <c r="A148" s="4"/>
      <c r="B148" s="26"/>
      <c r="C148" s="4"/>
      <c r="D148" s="4"/>
      <c r="E148" s="4"/>
      <c r="F148" s="4"/>
      <c r="G148" s="4"/>
      <c r="H148" s="4"/>
      <c r="I148" s="12"/>
      <c r="J148" s="12"/>
      <c r="K148" s="25"/>
      <c r="L148" s="4"/>
    </row>
    <row r="149" ht="15.75" customHeight="1">
      <c r="A149" s="4"/>
      <c r="B149" s="26"/>
      <c r="C149" s="4"/>
      <c r="D149" s="4"/>
      <c r="E149" s="4"/>
      <c r="F149" s="4"/>
      <c r="G149" s="4"/>
      <c r="H149" s="4"/>
      <c r="I149" s="12"/>
      <c r="J149" s="12"/>
      <c r="K149" s="25"/>
      <c r="L149" s="4"/>
    </row>
    <row r="150" ht="15.75" customHeight="1">
      <c r="A150" s="4"/>
      <c r="B150" s="26"/>
      <c r="C150" s="4"/>
      <c r="D150" s="4"/>
      <c r="E150" s="4"/>
      <c r="F150" s="4"/>
      <c r="G150" s="4"/>
      <c r="H150" s="4"/>
      <c r="I150" s="12"/>
      <c r="J150" s="12"/>
      <c r="K150" s="25"/>
      <c r="L150" s="4"/>
    </row>
    <row r="151" ht="15.75" customHeight="1">
      <c r="A151" s="4"/>
      <c r="B151" s="26"/>
      <c r="C151" s="4"/>
      <c r="D151" s="4"/>
      <c r="E151" s="4"/>
      <c r="F151" s="4"/>
      <c r="G151" s="4"/>
      <c r="H151" s="4"/>
      <c r="I151" s="12"/>
      <c r="J151" s="12"/>
      <c r="K151" s="25"/>
      <c r="L151" s="4"/>
    </row>
    <row r="152" ht="15.75" customHeight="1">
      <c r="A152" s="4"/>
      <c r="B152" s="26"/>
      <c r="C152" s="4"/>
      <c r="D152" s="4"/>
      <c r="E152" s="4"/>
      <c r="F152" s="4"/>
      <c r="G152" s="4"/>
      <c r="H152" s="4"/>
      <c r="I152" s="12"/>
      <c r="J152" s="12"/>
      <c r="K152" s="25"/>
      <c r="L152" s="4"/>
    </row>
    <row r="153" ht="15.75" customHeight="1">
      <c r="A153" s="4"/>
      <c r="B153" s="26"/>
      <c r="C153" s="4"/>
      <c r="D153" s="4"/>
      <c r="E153" s="4"/>
      <c r="F153" s="4"/>
      <c r="G153" s="4"/>
      <c r="H153" s="4"/>
      <c r="I153" s="12"/>
      <c r="J153" s="12"/>
      <c r="K153" s="25"/>
      <c r="L153" s="4"/>
    </row>
    <row r="154" ht="15.75" customHeight="1">
      <c r="A154" s="4"/>
      <c r="B154" s="26"/>
      <c r="C154" s="4"/>
      <c r="D154" s="4"/>
      <c r="E154" s="4"/>
      <c r="F154" s="4"/>
      <c r="G154" s="4"/>
      <c r="H154" s="4"/>
      <c r="I154" s="12"/>
      <c r="J154" s="12"/>
      <c r="K154" s="25"/>
      <c r="L154" s="4"/>
    </row>
    <row r="155" ht="15.75" customHeight="1">
      <c r="A155" s="4"/>
      <c r="B155" s="26"/>
      <c r="C155" s="4"/>
      <c r="D155" s="4"/>
      <c r="E155" s="4"/>
      <c r="F155" s="4"/>
      <c r="G155" s="4"/>
      <c r="H155" s="4"/>
      <c r="I155" s="12"/>
      <c r="J155" s="12"/>
      <c r="K155" s="25"/>
      <c r="L155" s="4"/>
    </row>
    <row r="156" ht="15.75" customHeight="1">
      <c r="A156" s="4"/>
      <c r="B156" s="26"/>
      <c r="C156" s="4"/>
      <c r="D156" s="4"/>
      <c r="E156" s="4"/>
      <c r="F156" s="4"/>
      <c r="G156" s="4"/>
      <c r="H156" s="4"/>
      <c r="I156" s="12"/>
      <c r="J156" s="12"/>
      <c r="K156" s="25"/>
      <c r="L156" s="4"/>
    </row>
    <row r="157" ht="15.75" customHeight="1">
      <c r="A157" s="4"/>
      <c r="B157" s="26"/>
      <c r="C157" s="4"/>
      <c r="D157" s="4"/>
      <c r="E157" s="4"/>
      <c r="F157" s="4"/>
      <c r="G157" s="4"/>
      <c r="H157" s="4"/>
      <c r="I157" s="12"/>
      <c r="J157" s="12"/>
      <c r="K157" s="25"/>
      <c r="L157" s="4"/>
    </row>
    <row r="158" ht="15.75" customHeight="1">
      <c r="A158" s="4"/>
      <c r="B158" s="26"/>
      <c r="C158" s="4"/>
      <c r="D158" s="4"/>
      <c r="E158" s="4"/>
      <c r="F158" s="4"/>
      <c r="G158" s="4"/>
      <c r="H158" s="4"/>
      <c r="I158" s="12"/>
      <c r="J158" s="12"/>
      <c r="K158" s="25"/>
      <c r="L158" s="4"/>
    </row>
    <row r="159" ht="15.75" customHeight="1">
      <c r="A159" s="4"/>
      <c r="B159" s="26"/>
      <c r="C159" s="4"/>
      <c r="D159" s="4"/>
      <c r="E159" s="4"/>
      <c r="F159" s="4"/>
      <c r="G159" s="4"/>
      <c r="H159" s="4"/>
      <c r="I159" s="12"/>
      <c r="J159" s="12"/>
      <c r="K159" s="25"/>
      <c r="L159" s="4"/>
    </row>
    <row r="160" ht="15.75" customHeight="1">
      <c r="A160" s="4"/>
      <c r="B160" s="26"/>
      <c r="C160" s="4"/>
      <c r="D160" s="4"/>
      <c r="E160" s="4"/>
      <c r="F160" s="4"/>
      <c r="G160" s="4"/>
      <c r="H160" s="4"/>
      <c r="I160" s="12"/>
      <c r="J160" s="12"/>
      <c r="K160" s="25"/>
      <c r="L160" s="4"/>
    </row>
    <row r="161" ht="15.75" customHeight="1">
      <c r="A161" s="4"/>
      <c r="B161" s="26"/>
      <c r="C161" s="4"/>
      <c r="D161" s="4"/>
      <c r="E161" s="4"/>
      <c r="F161" s="4"/>
      <c r="G161" s="4"/>
      <c r="H161" s="4"/>
      <c r="I161" s="12"/>
      <c r="J161" s="12"/>
      <c r="K161" s="25"/>
      <c r="L161" s="4"/>
    </row>
    <row r="162" ht="15.75" customHeight="1">
      <c r="A162" s="4"/>
      <c r="B162" s="26"/>
      <c r="C162" s="4"/>
      <c r="D162" s="4"/>
      <c r="E162" s="4"/>
      <c r="F162" s="4"/>
      <c r="G162" s="4"/>
      <c r="H162" s="4"/>
      <c r="I162" s="12"/>
      <c r="J162" s="12"/>
      <c r="K162" s="25"/>
      <c r="L162" s="4"/>
    </row>
    <row r="163" ht="15.75" customHeight="1">
      <c r="A163" s="4"/>
      <c r="B163" s="26"/>
      <c r="C163" s="4"/>
      <c r="D163" s="4"/>
      <c r="E163" s="4"/>
      <c r="F163" s="4"/>
      <c r="G163" s="4"/>
      <c r="H163" s="4"/>
      <c r="I163" s="12"/>
      <c r="J163" s="12"/>
      <c r="K163" s="25"/>
      <c r="L163" s="4"/>
    </row>
    <row r="164" ht="15.75" customHeight="1">
      <c r="A164" s="4"/>
      <c r="B164" s="26"/>
      <c r="C164" s="4"/>
      <c r="D164" s="4"/>
      <c r="E164" s="4"/>
      <c r="F164" s="4"/>
      <c r="G164" s="4"/>
      <c r="H164" s="4"/>
      <c r="I164" s="12"/>
      <c r="J164" s="12"/>
      <c r="K164" s="25"/>
      <c r="L164" s="4"/>
    </row>
    <row r="165" ht="15.75" customHeight="1">
      <c r="A165" s="4"/>
      <c r="B165" s="26"/>
      <c r="C165" s="4"/>
      <c r="D165" s="4"/>
      <c r="E165" s="4"/>
      <c r="F165" s="4"/>
      <c r="G165" s="4"/>
      <c r="H165" s="4"/>
      <c r="I165" s="12"/>
      <c r="J165" s="12"/>
      <c r="K165" s="25"/>
      <c r="L165" s="4"/>
    </row>
    <row r="166" ht="15.75" customHeight="1">
      <c r="A166" s="4"/>
      <c r="B166" s="26"/>
      <c r="C166" s="4"/>
      <c r="D166" s="4"/>
      <c r="E166" s="4"/>
      <c r="F166" s="4"/>
      <c r="G166" s="4"/>
      <c r="H166" s="4"/>
      <c r="I166" s="12"/>
      <c r="J166" s="12"/>
      <c r="K166" s="25"/>
      <c r="L166" s="4"/>
    </row>
    <row r="167" ht="15.75" customHeight="1">
      <c r="A167" s="4"/>
      <c r="B167" s="26"/>
      <c r="C167" s="4"/>
      <c r="D167" s="4"/>
      <c r="E167" s="4"/>
      <c r="F167" s="4"/>
      <c r="G167" s="4"/>
      <c r="H167" s="4"/>
      <c r="I167" s="12"/>
      <c r="J167" s="12"/>
      <c r="K167" s="25"/>
      <c r="L167" s="4"/>
    </row>
    <row r="168" ht="15.75" customHeight="1">
      <c r="A168" s="4"/>
      <c r="B168" s="26"/>
      <c r="C168" s="4"/>
      <c r="D168" s="4"/>
      <c r="E168" s="4"/>
      <c r="F168" s="4"/>
      <c r="G168" s="4"/>
      <c r="H168" s="4"/>
      <c r="I168" s="12"/>
      <c r="J168" s="12"/>
      <c r="K168" s="25"/>
      <c r="L168" s="4"/>
    </row>
    <row r="169" ht="15.75" customHeight="1">
      <c r="A169" s="4"/>
      <c r="B169" s="26"/>
      <c r="C169" s="4"/>
      <c r="D169" s="4"/>
      <c r="E169" s="4"/>
      <c r="F169" s="4"/>
      <c r="G169" s="4"/>
      <c r="H169" s="4"/>
      <c r="I169" s="12"/>
      <c r="J169" s="12"/>
      <c r="K169" s="25"/>
      <c r="L169" s="4"/>
    </row>
    <row r="170" ht="15.75" customHeight="1">
      <c r="A170" s="4"/>
      <c r="B170" s="26"/>
      <c r="C170" s="4"/>
      <c r="D170" s="4"/>
      <c r="E170" s="4"/>
      <c r="F170" s="4"/>
      <c r="G170" s="4"/>
      <c r="H170" s="4"/>
      <c r="I170" s="12"/>
      <c r="J170" s="12"/>
      <c r="K170" s="25"/>
      <c r="L170" s="4"/>
    </row>
    <row r="171" ht="15.75" customHeight="1">
      <c r="A171" s="4"/>
      <c r="B171" s="26"/>
      <c r="C171" s="4"/>
      <c r="D171" s="4"/>
      <c r="E171" s="4"/>
      <c r="F171" s="4"/>
      <c r="G171" s="4"/>
      <c r="H171" s="4"/>
      <c r="I171" s="12"/>
      <c r="J171" s="12"/>
      <c r="K171" s="25"/>
      <c r="L171" s="4"/>
    </row>
    <row r="172" ht="15.75" customHeight="1">
      <c r="A172" s="4"/>
      <c r="B172" s="26"/>
      <c r="C172" s="4"/>
      <c r="D172" s="4"/>
      <c r="E172" s="4"/>
      <c r="F172" s="4"/>
      <c r="G172" s="4"/>
      <c r="H172" s="4"/>
      <c r="I172" s="12"/>
      <c r="J172" s="12"/>
      <c r="K172" s="25"/>
      <c r="L172" s="4"/>
    </row>
    <row r="173" ht="15.75" customHeight="1">
      <c r="A173" s="4"/>
      <c r="B173" s="26"/>
      <c r="C173" s="4"/>
      <c r="D173" s="4"/>
      <c r="E173" s="4"/>
      <c r="F173" s="4"/>
      <c r="G173" s="4"/>
      <c r="H173" s="4"/>
      <c r="I173" s="12"/>
      <c r="J173" s="12"/>
      <c r="K173" s="25"/>
      <c r="L173" s="4"/>
    </row>
    <row r="174" ht="15.75" customHeight="1">
      <c r="A174" s="4"/>
      <c r="B174" s="26"/>
      <c r="C174" s="4"/>
      <c r="D174" s="4"/>
      <c r="E174" s="4"/>
      <c r="F174" s="4"/>
      <c r="G174" s="4"/>
      <c r="H174" s="4"/>
      <c r="I174" s="12"/>
      <c r="J174" s="12"/>
      <c r="K174" s="25"/>
      <c r="L174" s="4"/>
    </row>
    <row r="175" ht="15.75" customHeight="1">
      <c r="A175" s="4"/>
      <c r="B175" s="26"/>
      <c r="C175" s="4"/>
      <c r="D175" s="4"/>
      <c r="E175" s="4"/>
      <c r="F175" s="4"/>
      <c r="G175" s="4"/>
      <c r="H175" s="4"/>
      <c r="I175" s="12"/>
      <c r="J175" s="12"/>
      <c r="K175" s="25"/>
      <c r="L175" s="4"/>
    </row>
    <row r="176" ht="15.75" customHeight="1">
      <c r="A176" s="4"/>
      <c r="B176" s="26"/>
      <c r="C176" s="4"/>
      <c r="D176" s="4"/>
      <c r="E176" s="4"/>
      <c r="F176" s="4"/>
      <c r="G176" s="4"/>
      <c r="H176" s="4"/>
      <c r="I176" s="12"/>
      <c r="J176" s="12"/>
      <c r="K176" s="25"/>
      <c r="L176" s="4"/>
    </row>
    <row r="177" ht="15.75" customHeight="1">
      <c r="A177" s="4"/>
      <c r="B177" s="26"/>
      <c r="C177" s="4"/>
      <c r="D177" s="4"/>
      <c r="E177" s="4"/>
      <c r="F177" s="4"/>
      <c r="G177" s="4"/>
      <c r="H177" s="4"/>
      <c r="I177" s="12"/>
      <c r="J177" s="12"/>
      <c r="K177" s="25"/>
      <c r="L177" s="4"/>
    </row>
    <row r="178" ht="15.75" customHeight="1">
      <c r="A178" s="4"/>
      <c r="B178" s="26"/>
      <c r="C178" s="4"/>
      <c r="D178" s="4"/>
      <c r="E178" s="4"/>
      <c r="F178" s="4"/>
      <c r="G178" s="4"/>
      <c r="H178" s="4"/>
      <c r="I178" s="12"/>
      <c r="J178" s="12"/>
      <c r="K178" s="25"/>
      <c r="L178" s="4"/>
    </row>
    <row r="179" ht="15.75" customHeight="1">
      <c r="A179" s="4"/>
      <c r="B179" s="26"/>
      <c r="C179" s="4"/>
      <c r="D179" s="4"/>
      <c r="E179" s="4"/>
      <c r="F179" s="4"/>
      <c r="G179" s="4"/>
      <c r="H179" s="4"/>
      <c r="I179" s="12"/>
      <c r="J179" s="12"/>
      <c r="K179" s="25"/>
      <c r="L179" s="4"/>
    </row>
    <row r="180" ht="15.75" customHeight="1">
      <c r="A180" s="4"/>
      <c r="B180" s="26"/>
      <c r="C180" s="4"/>
      <c r="D180" s="4"/>
      <c r="E180" s="4"/>
      <c r="F180" s="4"/>
      <c r="G180" s="4"/>
      <c r="H180" s="4"/>
      <c r="I180" s="12"/>
      <c r="J180" s="12"/>
      <c r="K180" s="25"/>
      <c r="L180" s="4"/>
    </row>
    <row r="181" ht="15.75" customHeight="1">
      <c r="A181" s="4"/>
      <c r="B181" s="26"/>
      <c r="C181" s="4"/>
      <c r="D181" s="4"/>
      <c r="E181" s="4"/>
      <c r="F181" s="4"/>
      <c r="G181" s="4"/>
      <c r="H181" s="4"/>
      <c r="I181" s="12"/>
      <c r="J181" s="12"/>
      <c r="K181" s="25"/>
      <c r="L181" s="4"/>
    </row>
    <row r="182" ht="15.75" customHeight="1">
      <c r="A182" s="4"/>
      <c r="B182" s="26"/>
      <c r="C182" s="4"/>
      <c r="D182" s="4"/>
      <c r="E182" s="4"/>
      <c r="F182" s="4"/>
      <c r="G182" s="4"/>
      <c r="H182" s="4"/>
      <c r="I182" s="12"/>
      <c r="J182" s="12"/>
      <c r="K182" s="25"/>
      <c r="L182" s="4"/>
    </row>
    <row r="183" ht="15.75" customHeight="1">
      <c r="A183" s="4"/>
      <c r="B183" s="26"/>
      <c r="C183" s="4"/>
      <c r="D183" s="4"/>
      <c r="E183" s="4"/>
      <c r="F183" s="4"/>
      <c r="G183" s="4"/>
      <c r="H183" s="4"/>
      <c r="I183" s="12"/>
      <c r="J183" s="12"/>
      <c r="K183" s="25"/>
      <c r="L183" s="4"/>
    </row>
    <row r="184" ht="15.75" customHeight="1">
      <c r="A184" s="4"/>
      <c r="B184" s="26"/>
      <c r="C184" s="4"/>
      <c r="D184" s="4"/>
      <c r="E184" s="4"/>
      <c r="F184" s="4"/>
      <c r="G184" s="4"/>
      <c r="H184" s="4"/>
      <c r="I184" s="12"/>
      <c r="J184" s="12"/>
      <c r="K184" s="25"/>
      <c r="L184" s="4"/>
    </row>
    <row r="185" ht="15.75" customHeight="1">
      <c r="A185" s="4"/>
      <c r="B185" s="26"/>
      <c r="C185" s="4"/>
      <c r="D185" s="4"/>
      <c r="E185" s="4"/>
      <c r="F185" s="4"/>
      <c r="G185" s="4"/>
      <c r="H185" s="4"/>
      <c r="I185" s="12"/>
      <c r="J185" s="12"/>
      <c r="K185" s="25"/>
      <c r="L185" s="4"/>
    </row>
    <row r="186" ht="15.75" customHeight="1">
      <c r="A186" s="4"/>
      <c r="B186" s="26"/>
      <c r="C186" s="4"/>
      <c r="D186" s="4"/>
      <c r="E186" s="4"/>
      <c r="F186" s="4"/>
      <c r="G186" s="4"/>
      <c r="H186" s="4"/>
      <c r="I186" s="12"/>
      <c r="J186" s="12"/>
      <c r="K186" s="25"/>
      <c r="L186" s="4"/>
    </row>
    <row r="187" ht="15.75" customHeight="1">
      <c r="A187" s="4"/>
      <c r="B187" s="26"/>
      <c r="C187" s="4"/>
      <c r="D187" s="4"/>
      <c r="E187" s="4"/>
      <c r="F187" s="4"/>
      <c r="G187" s="4"/>
      <c r="H187" s="4"/>
      <c r="I187" s="12"/>
      <c r="J187" s="12"/>
      <c r="K187" s="25"/>
      <c r="L187" s="4"/>
    </row>
    <row r="188" ht="15.75" customHeight="1">
      <c r="A188" s="4"/>
      <c r="B188" s="26"/>
      <c r="C188" s="4"/>
      <c r="D188" s="4"/>
      <c r="E188" s="4"/>
      <c r="F188" s="4"/>
      <c r="G188" s="4"/>
      <c r="H188" s="4"/>
      <c r="I188" s="12"/>
      <c r="J188" s="12"/>
      <c r="K188" s="25"/>
      <c r="L188" s="4"/>
    </row>
    <row r="189" ht="15.75" customHeight="1">
      <c r="A189" s="4"/>
      <c r="B189" s="26"/>
      <c r="C189" s="4"/>
      <c r="D189" s="4"/>
      <c r="E189" s="4"/>
      <c r="F189" s="4"/>
      <c r="G189" s="4"/>
      <c r="H189" s="4"/>
      <c r="I189" s="12"/>
      <c r="J189" s="12"/>
      <c r="K189" s="25"/>
      <c r="L189" s="4"/>
    </row>
    <row r="190" ht="15.75" customHeight="1">
      <c r="A190" s="4"/>
      <c r="B190" s="26"/>
      <c r="C190" s="4"/>
      <c r="D190" s="4"/>
      <c r="E190" s="4"/>
      <c r="F190" s="4"/>
      <c r="G190" s="4"/>
      <c r="H190" s="4"/>
      <c r="I190" s="12"/>
      <c r="J190" s="12"/>
      <c r="K190" s="25"/>
      <c r="L190" s="4"/>
    </row>
    <row r="191" ht="15.75" customHeight="1">
      <c r="A191" s="4"/>
      <c r="B191" s="26"/>
      <c r="C191" s="4"/>
      <c r="D191" s="4"/>
      <c r="E191" s="4"/>
      <c r="F191" s="4"/>
      <c r="G191" s="4"/>
      <c r="H191" s="4"/>
      <c r="I191" s="12"/>
      <c r="J191" s="12"/>
      <c r="K191" s="25"/>
      <c r="L191" s="4"/>
    </row>
    <row r="192" ht="15.75" customHeight="1">
      <c r="A192" s="4"/>
      <c r="B192" s="26"/>
      <c r="C192" s="4"/>
      <c r="D192" s="4"/>
      <c r="E192" s="4"/>
      <c r="F192" s="4"/>
      <c r="G192" s="4"/>
      <c r="H192" s="4"/>
      <c r="I192" s="12"/>
      <c r="J192" s="12"/>
      <c r="K192" s="25"/>
      <c r="L192" s="4"/>
    </row>
    <row r="193" ht="15.75" customHeight="1">
      <c r="A193" s="4"/>
      <c r="B193" s="26"/>
      <c r="C193" s="4"/>
      <c r="D193" s="4"/>
      <c r="E193" s="4"/>
      <c r="F193" s="4"/>
      <c r="G193" s="4"/>
      <c r="H193" s="4"/>
      <c r="I193" s="12"/>
      <c r="J193" s="12"/>
      <c r="K193" s="25"/>
      <c r="L193" s="4"/>
    </row>
    <row r="194" ht="15.75" customHeight="1">
      <c r="A194" s="4"/>
      <c r="B194" s="26"/>
      <c r="C194" s="4"/>
      <c r="D194" s="4"/>
      <c r="E194" s="4"/>
      <c r="F194" s="4"/>
      <c r="G194" s="4"/>
      <c r="H194" s="4"/>
      <c r="I194" s="12"/>
      <c r="J194" s="12"/>
      <c r="K194" s="25"/>
      <c r="L194" s="4"/>
    </row>
    <row r="195" ht="15.75" customHeight="1">
      <c r="A195" s="4"/>
      <c r="B195" s="26"/>
      <c r="C195" s="4"/>
      <c r="D195" s="4"/>
      <c r="E195" s="4"/>
      <c r="F195" s="4"/>
      <c r="G195" s="4"/>
      <c r="H195" s="4"/>
      <c r="I195" s="12"/>
      <c r="J195" s="12"/>
      <c r="K195" s="25"/>
      <c r="L195" s="4"/>
    </row>
    <row r="196" ht="15.75" customHeight="1">
      <c r="A196" s="4"/>
      <c r="B196" s="26"/>
      <c r="C196" s="4"/>
      <c r="D196" s="4"/>
      <c r="E196" s="4"/>
      <c r="F196" s="4"/>
      <c r="G196" s="4"/>
      <c r="H196" s="4"/>
      <c r="I196" s="12"/>
      <c r="J196" s="12"/>
      <c r="K196" s="25"/>
      <c r="L196" s="4"/>
    </row>
    <row r="197" ht="15.75" customHeight="1">
      <c r="A197" s="4"/>
      <c r="B197" s="26"/>
      <c r="C197" s="4"/>
      <c r="D197" s="4"/>
      <c r="E197" s="4"/>
      <c r="F197" s="4"/>
      <c r="G197" s="4"/>
      <c r="H197" s="4"/>
      <c r="I197" s="12"/>
      <c r="J197" s="12"/>
      <c r="K197" s="25"/>
      <c r="L197" s="4"/>
    </row>
    <row r="198" ht="15.75" customHeight="1">
      <c r="A198" s="4"/>
      <c r="B198" s="26"/>
      <c r="C198" s="4"/>
      <c r="D198" s="4"/>
      <c r="E198" s="4"/>
      <c r="F198" s="4"/>
      <c r="G198" s="4"/>
      <c r="H198" s="4"/>
      <c r="I198" s="12"/>
      <c r="J198" s="12"/>
      <c r="K198" s="25"/>
      <c r="L198" s="4"/>
    </row>
    <row r="199" ht="15.75" customHeight="1">
      <c r="A199" s="4"/>
      <c r="B199" s="26"/>
      <c r="C199" s="4"/>
      <c r="D199" s="4"/>
      <c r="E199" s="4"/>
      <c r="F199" s="4"/>
      <c r="G199" s="4"/>
      <c r="H199" s="4"/>
      <c r="I199" s="12"/>
      <c r="J199" s="12"/>
      <c r="K199" s="25"/>
      <c r="L199" s="4"/>
    </row>
    <row r="200" ht="15.75" customHeight="1">
      <c r="A200" s="4"/>
      <c r="B200" s="26"/>
      <c r="C200" s="4"/>
      <c r="D200" s="4"/>
      <c r="E200" s="4"/>
      <c r="F200" s="4"/>
      <c r="G200" s="4"/>
      <c r="H200" s="4"/>
      <c r="I200" s="12"/>
      <c r="J200" s="12"/>
      <c r="K200" s="25"/>
      <c r="L200" s="4"/>
    </row>
    <row r="201" ht="15.75" customHeight="1">
      <c r="A201" s="4"/>
      <c r="B201" s="26"/>
      <c r="C201" s="4"/>
      <c r="D201" s="4"/>
      <c r="E201" s="4"/>
      <c r="F201" s="4"/>
      <c r="G201" s="4"/>
      <c r="H201" s="4"/>
      <c r="I201" s="12"/>
      <c r="J201" s="12"/>
      <c r="K201" s="25"/>
      <c r="L201" s="4"/>
    </row>
    <row r="202" ht="15.75" customHeight="1">
      <c r="A202" s="4"/>
      <c r="B202" s="26"/>
      <c r="C202" s="4"/>
      <c r="D202" s="4"/>
      <c r="E202" s="4"/>
      <c r="F202" s="4"/>
      <c r="G202" s="4"/>
      <c r="H202" s="4"/>
      <c r="I202" s="12"/>
      <c r="J202" s="12"/>
      <c r="K202" s="25"/>
      <c r="L202" s="4"/>
    </row>
    <row r="203" ht="15.75" customHeight="1">
      <c r="A203" s="4"/>
      <c r="B203" s="26"/>
      <c r="C203" s="4"/>
      <c r="D203" s="4"/>
      <c r="E203" s="4"/>
      <c r="F203" s="4"/>
      <c r="G203" s="4"/>
      <c r="H203" s="4"/>
      <c r="I203" s="12"/>
      <c r="J203" s="12"/>
      <c r="K203" s="25"/>
      <c r="L203" s="4"/>
    </row>
    <row r="204" ht="15.75" customHeight="1">
      <c r="A204" s="4"/>
      <c r="B204" s="26"/>
      <c r="C204" s="4"/>
      <c r="D204" s="4"/>
      <c r="E204" s="4"/>
      <c r="F204" s="4"/>
      <c r="G204" s="4"/>
      <c r="H204" s="4"/>
      <c r="I204" s="12"/>
      <c r="J204" s="12"/>
      <c r="K204" s="25"/>
      <c r="L204" s="4"/>
    </row>
    <row r="205" ht="15.75" customHeight="1">
      <c r="A205" s="4"/>
      <c r="B205" s="26"/>
      <c r="C205" s="4"/>
      <c r="D205" s="4"/>
      <c r="E205" s="4"/>
      <c r="F205" s="4"/>
      <c r="G205" s="4"/>
      <c r="H205" s="4"/>
      <c r="I205" s="12"/>
      <c r="J205" s="12"/>
      <c r="K205" s="25"/>
      <c r="L205" s="4"/>
    </row>
    <row r="206" ht="15.75" customHeight="1">
      <c r="A206" s="4"/>
      <c r="B206" s="26"/>
      <c r="C206" s="4"/>
      <c r="D206" s="4"/>
      <c r="E206" s="4"/>
      <c r="F206" s="4"/>
      <c r="G206" s="4"/>
      <c r="H206" s="4"/>
      <c r="I206" s="12"/>
      <c r="J206" s="12"/>
      <c r="K206" s="25"/>
      <c r="L206" s="4"/>
    </row>
    <row r="207" ht="15.75" customHeight="1">
      <c r="A207" s="4"/>
      <c r="B207" s="26"/>
      <c r="C207" s="4"/>
      <c r="D207" s="4"/>
      <c r="E207" s="4"/>
      <c r="F207" s="4"/>
      <c r="G207" s="4"/>
      <c r="H207" s="4"/>
      <c r="I207" s="12"/>
      <c r="J207" s="12"/>
      <c r="K207" s="25"/>
      <c r="L207" s="4"/>
    </row>
    <row r="208" ht="15.75" customHeight="1">
      <c r="A208" s="4"/>
      <c r="B208" s="26"/>
      <c r="C208" s="4"/>
      <c r="D208" s="4"/>
      <c r="E208" s="4"/>
      <c r="F208" s="4"/>
      <c r="G208" s="4"/>
      <c r="H208" s="4"/>
      <c r="I208" s="12"/>
      <c r="J208" s="12"/>
      <c r="K208" s="25"/>
      <c r="L208" s="4"/>
    </row>
    <row r="209" ht="15.75" customHeight="1">
      <c r="A209" s="4"/>
      <c r="B209" s="26"/>
      <c r="C209" s="4"/>
      <c r="D209" s="4"/>
      <c r="E209" s="4"/>
      <c r="F209" s="4"/>
      <c r="G209" s="4"/>
      <c r="H209" s="4"/>
      <c r="I209" s="12"/>
      <c r="J209" s="12"/>
      <c r="K209" s="25"/>
      <c r="L209" s="4"/>
    </row>
    <row r="210" ht="15.75" customHeight="1">
      <c r="A210" s="4"/>
      <c r="B210" s="26"/>
      <c r="C210" s="4"/>
      <c r="D210" s="4"/>
      <c r="E210" s="4"/>
      <c r="F210" s="4"/>
      <c r="G210" s="4"/>
      <c r="H210" s="4"/>
      <c r="I210" s="12"/>
      <c r="J210" s="12"/>
      <c r="K210" s="25"/>
      <c r="L210" s="4"/>
    </row>
    <row r="211" ht="15.75" customHeight="1">
      <c r="A211" s="4"/>
      <c r="B211" s="26"/>
      <c r="C211" s="4"/>
      <c r="D211" s="4"/>
      <c r="E211" s="4"/>
      <c r="F211" s="4"/>
      <c r="G211" s="4"/>
      <c r="H211" s="4"/>
      <c r="I211" s="12"/>
      <c r="J211" s="12"/>
      <c r="K211" s="25"/>
      <c r="L211" s="4"/>
    </row>
    <row r="212" ht="15.75" customHeight="1">
      <c r="A212" s="4"/>
      <c r="B212" s="26"/>
      <c r="C212" s="4"/>
      <c r="D212" s="4"/>
      <c r="E212" s="4"/>
      <c r="F212" s="4"/>
      <c r="G212" s="4"/>
      <c r="H212" s="4"/>
      <c r="I212" s="12"/>
      <c r="J212" s="12"/>
      <c r="K212" s="25"/>
      <c r="L212" s="4"/>
    </row>
    <row r="213" ht="15.75" customHeight="1">
      <c r="A213" s="4"/>
      <c r="B213" s="26"/>
      <c r="C213" s="4"/>
      <c r="D213" s="4"/>
      <c r="E213" s="4"/>
      <c r="F213" s="4"/>
      <c r="G213" s="4"/>
      <c r="H213" s="4"/>
      <c r="I213" s="12"/>
      <c r="J213" s="12"/>
      <c r="K213" s="25"/>
      <c r="L213" s="4"/>
    </row>
    <row r="214" ht="15.75" customHeight="1">
      <c r="A214" s="4"/>
      <c r="B214" s="26"/>
      <c r="C214" s="4"/>
      <c r="D214" s="4"/>
      <c r="E214" s="4"/>
      <c r="F214" s="4"/>
      <c r="G214" s="4"/>
      <c r="H214" s="4"/>
      <c r="I214" s="12"/>
      <c r="J214" s="12"/>
      <c r="K214" s="25"/>
      <c r="L214" s="4"/>
    </row>
    <row r="215" ht="15.75" customHeight="1">
      <c r="A215" s="4"/>
      <c r="B215" s="26"/>
      <c r="C215" s="4"/>
      <c r="D215" s="4"/>
      <c r="E215" s="4"/>
      <c r="F215" s="4"/>
      <c r="G215" s="4"/>
      <c r="H215" s="4"/>
      <c r="I215" s="12"/>
      <c r="J215" s="12"/>
      <c r="K215" s="25"/>
      <c r="L215" s="4"/>
    </row>
    <row r="216" ht="15.75" customHeight="1">
      <c r="A216" s="4"/>
      <c r="B216" s="26"/>
      <c r="C216" s="4"/>
      <c r="D216" s="4"/>
      <c r="E216" s="4"/>
      <c r="F216" s="4"/>
      <c r="G216" s="4"/>
      <c r="H216" s="4"/>
      <c r="I216" s="12"/>
      <c r="J216" s="12"/>
      <c r="K216" s="25"/>
      <c r="L216" s="4"/>
    </row>
    <row r="217" ht="15.75" customHeight="1">
      <c r="A217" s="4"/>
      <c r="B217" s="26"/>
      <c r="C217" s="4"/>
      <c r="D217" s="4"/>
      <c r="E217" s="4"/>
      <c r="F217" s="4"/>
      <c r="G217" s="4"/>
      <c r="H217" s="4"/>
      <c r="I217" s="12"/>
      <c r="J217" s="12"/>
      <c r="K217" s="25"/>
      <c r="L217" s="4"/>
    </row>
    <row r="218" ht="15.75" customHeight="1">
      <c r="A218" s="4"/>
      <c r="B218" s="26"/>
      <c r="C218" s="4"/>
      <c r="D218" s="4"/>
      <c r="E218" s="4"/>
      <c r="F218" s="4"/>
      <c r="G218" s="4"/>
      <c r="H218" s="4"/>
      <c r="I218" s="12"/>
      <c r="J218" s="12"/>
      <c r="K218" s="25"/>
      <c r="L218" s="4"/>
    </row>
    <row r="219" ht="15.75" customHeight="1">
      <c r="A219" s="4"/>
      <c r="B219" s="26"/>
      <c r="C219" s="4"/>
      <c r="D219" s="4"/>
      <c r="E219" s="4"/>
      <c r="F219" s="4"/>
      <c r="G219" s="4"/>
      <c r="H219" s="4"/>
      <c r="I219" s="12"/>
      <c r="J219" s="12"/>
      <c r="K219" s="25"/>
      <c r="L219" s="4"/>
    </row>
    <row r="220" ht="15.75" customHeight="1">
      <c r="A220" s="4"/>
      <c r="B220" s="26"/>
      <c r="C220" s="4"/>
      <c r="D220" s="4"/>
      <c r="E220" s="4"/>
      <c r="F220" s="4"/>
      <c r="G220" s="4"/>
      <c r="H220" s="4"/>
      <c r="I220" s="12"/>
      <c r="J220" s="12"/>
      <c r="K220" s="25"/>
      <c r="L220" s="4"/>
    </row>
    <row r="221" ht="15.75" customHeight="1">
      <c r="A221" s="4"/>
      <c r="B221" s="26"/>
      <c r="C221" s="4"/>
      <c r="D221" s="4"/>
      <c r="E221" s="4"/>
      <c r="F221" s="4"/>
      <c r="G221" s="4"/>
      <c r="H221" s="4"/>
      <c r="I221" s="12"/>
      <c r="J221" s="12"/>
      <c r="K221" s="25"/>
      <c r="L221" s="4"/>
    </row>
    <row r="222" ht="15.75" customHeight="1">
      <c r="A222" s="4"/>
      <c r="B222" s="26"/>
      <c r="C222" s="4"/>
      <c r="D222" s="4"/>
      <c r="E222" s="4"/>
      <c r="F222" s="4"/>
      <c r="G222" s="4"/>
      <c r="H222" s="4"/>
      <c r="I222" s="12"/>
      <c r="J222" s="12"/>
      <c r="K222" s="25"/>
      <c r="L222" s="4"/>
    </row>
    <row r="223" ht="15.75" customHeight="1">
      <c r="A223" s="4"/>
      <c r="B223" s="26"/>
      <c r="C223" s="4"/>
      <c r="D223" s="4"/>
      <c r="E223" s="4"/>
      <c r="F223" s="4"/>
      <c r="G223" s="4"/>
      <c r="H223" s="4"/>
      <c r="I223" s="12"/>
      <c r="J223" s="12"/>
      <c r="K223" s="25"/>
      <c r="L223" s="4"/>
    </row>
    <row r="224" ht="15.75" customHeight="1">
      <c r="A224" s="4"/>
      <c r="B224" s="26"/>
      <c r="C224" s="4"/>
      <c r="D224" s="4"/>
      <c r="E224" s="4"/>
      <c r="F224" s="4"/>
      <c r="G224" s="4"/>
      <c r="H224" s="4"/>
      <c r="I224" s="12"/>
      <c r="J224" s="12"/>
      <c r="K224" s="25"/>
      <c r="L224" s="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32.0"/>
    <col customWidth="1" min="4" max="4" width="10.0"/>
    <col customWidth="1" min="5" max="9" width="14.0"/>
    <col customWidth="1" min="10" max="10" width="12.0"/>
    <col customWidth="1" min="11" max="26" width="8.71"/>
  </cols>
  <sheetData>
    <row r="1" ht="27.75" customHeight="1">
      <c r="A1" s="1" t="s">
        <v>334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27" t="s">
        <v>34</v>
      </c>
      <c r="B2" s="27" t="s">
        <v>193</v>
      </c>
      <c r="C2" s="27" t="s">
        <v>17</v>
      </c>
      <c r="D2" s="27" t="s">
        <v>46</v>
      </c>
      <c r="E2" s="27" t="s">
        <v>47</v>
      </c>
      <c r="F2" s="27" t="s">
        <v>48</v>
      </c>
      <c r="G2" s="27" t="s">
        <v>49</v>
      </c>
      <c r="H2" s="27" t="s">
        <v>335</v>
      </c>
      <c r="I2" s="27" t="s">
        <v>336</v>
      </c>
      <c r="J2" s="27" t="s">
        <v>337</v>
      </c>
    </row>
    <row r="3">
      <c r="A3" s="19" t="s">
        <v>302</v>
      </c>
      <c r="B3" s="19" t="s">
        <v>263</v>
      </c>
      <c r="C3" s="19" t="s">
        <v>266</v>
      </c>
      <c r="D3" s="19">
        <v>3.0</v>
      </c>
      <c r="E3" s="22">
        <f>IF(D3&gt;=300,VLOOKUP(B3,Lista_Precios!$A:$L,10,FALSE),IF(D3&gt;=100,VLOOKUP(B3,Lista_Precios!$A:$L,9,FALSE),IF(D3&gt;=50,VLOOKUP(B3,Lista_Precios!$A:$L,8,FALSE),IF(D3&gt;=30,VLOOKUP(B3,Lista_Precios!$A:$L,7,FALSE),IF(D3&gt;=10,VLOOKUP(B3,Lista_Precios!$A:$L,6,FALSE),VLOOKUP(B3,Lista_Precios!$A:$L,5,FALSE))))))</f>
        <v>6000</v>
      </c>
      <c r="F3" s="22">
        <f t="shared" ref="F3:F73" si="1">D3*E3</f>
        <v>18000</v>
      </c>
      <c r="G3" s="22">
        <f>VLOOKUP(B3,Productos!$A:$P,9,FALSE)</f>
        <v>4500</v>
      </c>
      <c r="H3" s="22">
        <f t="shared" ref="H3:H73" si="2">F3-(D3*G3)</f>
        <v>4500</v>
      </c>
      <c r="I3" s="19" t="str">
        <f t="shared" ref="I3:I73" si="3">IF(D3&gt;=300,"300+",IF(D3&gt;=100,"100-299",IF(D3&gt;=50,"50-99",IF(D3&gt;=30,"30-49",IF(D3&gt;=10,"10-29","1-9")))))</f>
        <v>1-9</v>
      </c>
      <c r="J3" s="23">
        <f>IF(D3&gt;=300,Escalas_Volumen!$D$8,IF(D3&gt;=100,Escalas_Volumen!$D$7,IF(D3&gt;=50,Escalas_Volumen!$D$6,IF(D3&gt;=30,Escalas_Volumen!$D$5,IF(D3&gt;=10,Escalas_Volumen!$D$4,Escalas_Volumen!$D$3)))))</f>
        <v>0</v>
      </c>
    </row>
    <row r="4">
      <c r="A4" s="19" t="s">
        <v>302</v>
      </c>
      <c r="B4" s="19" t="s">
        <v>238</v>
      </c>
      <c r="C4" s="19" t="s">
        <v>240</v>
      </c>
      <c r="D4" s="19">
        <v>12.0</v>
      </c>
      <c r="E4" s="22">
        <f>IF(D4&gt;=300,VLOOKUP(B4,Lista_Precios!$A:$L,10,FALSE),IF(D4&gt;=100,VLOOKUP(B4,Lista_Precios!$A:$L,9,FALSE),IF(D4&gt;=50,VLOOKUP(B4,Lista_Precios!$A:$L,8,FALSE),IF(D4&gt;=30,VLOOKUP(B4,Lista_Precios!$A:$L,7,FALSE),IF(D4&gt;=10,VLOOKUP(B4,Lista_Precios!$A:$L,6,FALSE),VLOOKUP(B4,Lista_Precios!$A:$L,5,FALSE))))))</f>
        <v>5690.5</v>
      </c>
      <c r="F4" s="22">
        <f t="shared" si="1"/>
        <v>68286</v>
      </c>
      <c r="G4" s="22">
        <f>VLOOKUP(B4,Productos!$A:$P,9,FALSE)</f>
        <v>4350</v>
      </c>
      <c r="H4" s="22">
        <f t="shared" si="2"/>
        <v>16086</v>
      </c>
      <c r="I4" s="19" t="str">
        <f t="shared" si="3"/>
        <v>10-29</v>
      </c>
      <c r="J4" s="23">
        <f>IF(D4&gt;=300,Escalas_Volumen!$D$8,IF(D4&gt;=100,Escalas_Volumen!$D$7,IF(D4&gt;=50,Escalas_Volumen!$D$6,IF(D4&gt;=30,Escalas_Volumen!$D$5,IF(D4&gt;=10,Escalas_Volumen!$D$4,Escalas_Volumen!$D$3)))))</f>
        <v>0.05</v>
      </c>
    </row>
    <row r="5">
      <c r="A5" s="19" t="s">
        <v>306</v>
      </c>
      <c r="B5" s="19" t="s">
        <v>229</v>
      </c>
      <c r="C5" s="19" t="s">
        <v>31</v>
      </c>
      <c r="D5" s="19">
        <v>3.0</v>
      </c>
      <c r="E5" s="22">
        <f>IF(D5&gt;=300,VLOOKUP(B5,Lista_Precios!$A:$L,10,FALSE),IF(D5&gt;=100,VLOOKUP(B5,Lista_Precios!$A:$L,9,FALSE),IF(D5&gt;=50,VLOOKUP(B5,Lista_Precios!$A:$L,8,FALSE),IF(D5&gt;=30,VLOOKUP(B5,Lista_Precios!$A:$L,7,FALSE),IF(D5&gt;=10,VLOOKUP(B5,Lista_Precios!$A:$L,6,FALSE),VLOOKUP(B5,Lista_Precios!$A:$L,5,FALSE))))))</f>
        <v>7500</v>
      </c>
      <c r="F5" s="22">
        <f t="shared" si="1"/>
        <v>22500</v>
      </c>
      <c r="G5" s="22">
        <f>VLOOKUP(B5,Productos!$A:$P,9,FALSE)</f>
        <v>6300</v>
      </c>
      <c r="H5" s="22">
        <f t="shared" si="2"/>
        <v>3600</v>
      </c>
      <c r="I5" s="19" t="str">
        <f t="shared" si="3"/>
        <v>1-9</v>
      </c>
      <c r="J5" s="23">
        <f>IF(D5&gt;=300,Escalas_Volumen!$D$8,IF(D5&gt;=100,Escalas_Volumen!$D$7,IF(D5&gt;=50,Escalas_Volumen!$D$6,IF(D5&gt;=30,Escalas_Volumen!$D$5,IF(D5&gt;=10,Escalas_Volumen!$D$4,Escalas_Volumen!$D$3)))))</f>
        <v>0</v>
      </c>
    </row>
    <row r="6">
      <c r="A6" s="19" t="s">
        <v>306</v>
      </c>
      <c r="B6" s="19" t="s">
        <v>213</v>
      </c>
      <c r="C6" s="19" t="s">
        <v>21</v>
      </c>
      <c r="D6" s="19">
        <v>30.0</v>
      </c>
      <c r="E6" s="22">
        <f>IF(D6&gt;=300,VLOOKUP(B6,Lista_Precios!$A:$L,10,FALSE),IF(D6&gt;=100,VLOOKUP(B6,Lista_Precios!$A:$L,9,FALSE),IF(D6&gt;=50,VLOOKUP(B6,Lista_Precios!$A:$L,8,FALSE),IF(D6&gt;=30,VLOOKUP(B6,Lista_Precios!$A:$L,7,FALSE),IF(D6&gt;=10,VLOOKUP(B6,Lista_Precios!$A:$L,6,FALSE),VLOOKUP(B6,Lista_Precios!$A:$L,5,FALSE))))))</f>
        <v>6430.8</v>
      </c>
      <c r="F6" s="22">
        <f t="shared" si="1"/>
        <v>192924</v>
      </c>
      <c r="G6" s="22">
        <f>VLOOKUP(B6,Productos!$A:$P,9,FALSE)</f>
        <v>5600</v>
      </c>
      <c r="H6" s="22">
        <f t="shared" si="2"/>
        <v>24924</v>
      </c>
      <c r="I6" s="19" t="str">
        <f t="shared" si="3"/>
        <v>30-49</v>
      </c>
      <c r="J6" s="23">
        <f>IF(D6&gt;=300,Escalas_Volumen!$D$8,IF(D6&gt;=100,Escalas_Volumen!$D$7,IF(D6&gt;=50,Escalas_Volumen!$D$6,IF(D6&gt;=30,Escalas_Volumen!$D$5,IF(D6&gt;=10,Escalas_Volumen!$D$4,Escalas_Volumen!$D$3)))))</f>
        <v>0.08</v>
      </c>
    </row>
    <row r="7">
      <c r="A7" s="19" t="s">
        <v>306</v>
      </c>
      <c r="B7" s="19" t="s">
        <v>219</v>
      </c>
      <c r="C7" s="19" t="s">
        <v>25</v>
      </c>
      <c r="D7" s="19">
        <v>15.0</v>
      </c>
      <c r="E7" s="22">
        <f>IF(D7&gt;=300,VLOOKUP(B7,Lista_Precios!$A:$L,10,FALSE),IF(D7&gt;=100,VLOOKUP(B7,Lista_Precios!$A:$L,9,FALSE),IF(D7&gt;=50,VLOOKUP(B7,Lista_Precios!$A:$L,8,FALSE),IF(D7&gt;=30,VLOOKUP(B7,Lista_Precios!$A:$L,7,FALSE),IF(D7&gt;=10,VLOOKUP(B7,Lista_Precios!$A:$L,6,FALSE),VLOOKUP(B7,Lista_Precios!$A:$L,5,FALSE))))))</f>
        <v>1225.5</v>
      </c>
      <c r="F7" s="22">
        <f t="shared" si="1"/>
        <v>18382.5</v>
      </c>
      <c r="G7" s="22">
        <f>VLOOKUP(B7,Productos!$A:$P,9,FALSE)</f>
        <v>820</v>
      </c>
      <c r="H7" s="22">
        <f t="shared" si="2"/>
        <v>6082.5</v>
      </c>
      <c r="I7" s="19" t="str">
        <f t="shared" si="3"/>
        <v>10-29</v>
      </c>
      <c r="J7" s="23">
        <f>IF(D7&gt;=300,Escalas_Volumen!$D$8,IF(D7&gt;=100,Escalas_Volumen!$D$7,IF(D7&gt;=50,Escalas_Volumen!$D$6,IF(D7&gt;=30,Escalas_Volumen!$D$5,IF(D7&gt;=10,Escalas_Volumen!$D$4,Escalas_Volumen!$D$3)))))</f>
        <v>0.05</v>
      </c>
    </row>
    <row r="8">
      <c r="A8" s="19" t="s">
        <v>308</v>
      </c>
      <c r="B8" s="19" t="s">
        <v>243</v>
      </c>
      <c r="C8" s="19" t="s">
        <v>246</v>
      </c>
      <c r="D8" s="19">
        <v>2.0</v>
      </c>
      <c r="E8" s="22">
        <f>IF(D8&gt;=300,VLOOKUP(B8,Lista_Precios!$A:$L,10,FALSE),IF(D8&gt;=100,VLOOKUP(B8,Lista_Precios!$A:$L,9,FALSE),IF(D8&gt;=50,VLOOKUP(B8,Lista_Precios!$A:$L,8,FALSE),IF(D8&gt;=30,VLOOKUP(B8,Lista_Precios!$A:$L,7,FALSE),IF(D8&gt;=10,VLOOKUP(B8,Lista_Precios!$A:$L,6,FALSE),VLOOKUP(B8,Lista_Precios!$A:$L,5,FALSE))))))</f>
        <v>1590</v>
      </c>
      <c r="F8" s="22">
        <f t="shared" si="1"/>
        <v>3180</v>
      </c>
      <c r="G8" s="22">
        <f>VLOOKUP(B8,Productos!$A:$P,9,FALSE)</f>
        <v>1130</v>
      </c>
      <c r="H8" s="22">
        <f t="shared" si="2"/>
        <v>920</v>
      </c>
      <c r="I8" s="19" t="str">
        <f t="shared" si="3"/>
        <v>1-9</v>
      </c>
      <c r="J8" s="23">
        <f>IF(D8&gt;=300,Escalas_Volumen!$D$8,IF(D8&gt;=100,Escalas_Volumen!$D$7,IF(D8&gt;=50,Escalas_Volumen!$D$6,IF(D8&gt;=30,Escalas_Volumen!$D$5,IF(D8&gt;=10,Escalas_Volumen!$D$4,Escalas_Volumen!$D$3)))))</f>
        <v>0</v>
      </c>
    </row>
    <row r="9">
      <c r="A9" s="19" t="s">
        <v>308</v>
      </c>
      <c r="B9" s="19" t="s">
        <v>229</v>
      </c>
      <c r="C9" s="19" t="s">
        <v>31</v>
      </c>
      <c r="D9" s="19">
        <v>30.0</v>
      </c>
      <c r="E9" s="22">
        <f>IF(D9&gt;=300,VLOOKUP(B9,Lista_Precios!$A:$L,10,FALSE),IF(D9&gt;=100,VLOOKUP(B9,Lista_Precios!$A:$L,9,FALSE),IF(D9&gt;=50,VLOOKUP(B9,Lista_Precios!$A:$L,8,FALSE),IF(D9&gt;=30,VLOOKUP(B9,Lista_Precios!$A:$L,7,FALSE),IF(D9&gt;=10,VLOOKUP(B9,Lista_Precios!$A:$L,6,FALSE),VLOOKUP(B9,Lista_Precios!$A:$L,5,FALSE))))))</f>
        <v>6900</v>
      </c>
      <c r="F9" s="22">
        <f t="shared" si="1"/>
        <v>207000</v>
      </c>
      <c r="G9" s="22">
        <f>VLOOKUP(B9,Productos!$A:$P,9,FALSE)</f>
        <v>6300</v>
      </c>
      <c r="H9" s="22">
        <f t="shared" si="2"/>
        <v>18000</v>
      </c>
      <c r="I9" s="19" t="str">
        <f t="shared" si="3"/>
        <v>30-49</v>
      </c>
      <c r="J9" s="23">
        <f>IF(D9&gt;=300,Escalas_Volumen!$D$8,IF(D9&gt;=100,Escalas_Volumen!$D$7,IF(D9&gt;=50,Escalas_Volumen!$D$6,IF(D9&gt;=30,Escalas_Volumen!$D$5,IF(D9&gt;=10,Escalas_Volumen!$D$4,Escalas_Volumen!$D$3)))))</f>
        <v>0.08</v>
      </c>
    </row>
    <row r="10">
      <c r="A10" s="19" t="s">
        <v>308</v>
      </c>
      <c r="B10" s="19" t="s">
        <v>207</v>
      </c>
      <c r="C10" s="19" t="s">
        <v>19</v>
      </c>
      <c r="D10" s="19">
        <v>5.0</v>
      </c>
      <c r="E10" s="22">
        <f>IF(D10&gt;=300,VLOOKUP(B10,Lista_Precios!$A:$L,10,FALSE),IF(D10&gt;=100,VLOOKUP(B10,Lista_Precios!$A:$L,9,FALSE),IF(D10&gt;=50,VLOOKUP(B10,Lista_Precios!$A:$L,8,FALSE),IF(D10&gt;=30,VLOOKUP(B10,Lista_Precios!$A:$L,7,FALSE),IF(D10&gt;=10,VLOOKUP(B10,Lista_Precios!$A:$L,6,FALSE),VLOOKUP(B10,Lista_Precios!$A:$L,5,FALSE))))))</f>
        <v>2490</v>
      </c>
      <c r="F10" s="22">
        <f t="shared" si="1"/>
        <v>12450</v>
      </c>
      <c r="G10" s="22">
        <f>VLOOKUP(B10,Productos!$A:$P,9,FALSE)</f>
        <v>1970</v>
      </c>
      <c r="H10" s="22">
        <f t="shared" si="2"/>
        <v>2600</v>
      </c>
      <c r="I10" s="19" t="str">
        <f t="shared" si="3"/>
        <v>1-9</v>
      </c>
      <c r="J10" s="23">
        <f>IF(D10&gt;=300,Escalas_Volumen!$D$8,IF(D10&gt;=100,Escalas_Volumen!$D$7,IF(D10&gt;=50,Escalas_Volumen!$D$6,IF(D10&gt;=30,Escalas_Volumen!$D$5,IF(D10&gt;=10,Escalas_Volumen!$D$4,Escalas_Volumen!$D$3)))))</f>
        <v>0</v>
      </c>
    </row>
    <row r="11">
      <c r="A11" s="19" t="s">
        <v>308</v>
      </c>
      <c r="B11" s="19" t="s">
        <v>219</v>
      </c>
      <c r="C11" s="19" t="s">
        <v>25</v>
      </c>
      <c r="D11" s="19">
        <v>10.0</v>
      </c>
      <c r="E11" s="22">
        <f>IF(D11&gt;=300,VLOOKUP(B11,Lista_Precios!$A:$L,10,FALSE),IF(D11&gt;=100,VLOOKUP(B11,Lista_Precios!$A:$L,9,FALSE),IF(D11&gt;=50,VLOOKUP(B11,Lista_Precios!$A:$L,8,FALSE),IF(D11&gt;=30,VLOOKUP(B11,Lista_Precios!$A:$L,7,FALSE),IF(D11&gt;=10,VLOOKUP(B11,Lista_Precios!$A:$L,6,FALSE),VLOOKUP(B11,Lista_Precios!$A:$L,5,FALSE))))))</f>
        <v>1225.5</v>
      </c>
      <c r="F11" s="22">
        <f t="shared" si="1"/>
        <v>12255</v>
      </c>
      <c r="G11" s="22">
        <f>VLOOKUP(B11,Productos!$A:$P,9,FALSE)</f>
        <v>820</v>
      </c>
      <c r="H11" s="22">
        <f t="shared" si="2"/>
        <v>4055</v>
      </c>
      <c r="I11" s="19" t="str">
        <f t="shared" si="3"/>
        <v>10-29</v>
      </c>
      <c r="J11" s="23">
        <f>IF(D11&gt;=300,Escalas_Volumen!$D$8,IF(D11&gt;=100,Escalas_Volumen!$D$7,IF(D11&gt;=50,Escalas_Volumen!$D$6,IF(D11&gt;=30,Escalas_Volumen!$D$5,IF(D11&gt;=10,Escalas_Volumen!$D$4,Escalas_Volumen!$D$3)))))</f>
        <v>0.05</v>
      </c>
    </row>
    <row r="12">
      <c r="A12" s="19" t="s">
        <v>311</v>
      </c>
      <c r="B12" s="19" t="s">
        <v>263</v>
      </c>
      <c r="C12" s="19" t="s">
        <v>266</v>
      </c>
      <c r="D12" s="19">
        <v>50.0</v>
      </c>
      <c r="E12" s="22">
        <f>IF(D12&gt;=300,VLOOKUP(B12,Lista_Precios!$A:$L,10,FALSE),IF(D12&gt;=100,VLOOKUP(B12,Lista_Precios!$A:$L,9,FALSE),IF(D12&gt;=50,VLOOKUP(B12,Lista_Precios!$A:$L,8,FALSE),IF(D12&gt;=30,VLOOKUP(B12,Lista_Precios!$A:$L,7,FALSE),IF(D12&gt;=10,VLOOKUP(B12,Lista_Precios!$A:$L,6,FALSE),VLOOKUP(B12,Lista_Precios!$A:$L,5,FALSE))))))</f>
        <v>5280</v>
      </c>
      <c r="F12" s="22">
        <f t="shared" si="1"/>
        <v>264000</v>
      </c>
      <c r="G12" s="22">
        <f>VLOOKUP(B12,Productos!$A:$P,9,FALSE)</f>
        <v>4500</v>
      </c>
      <c r="H12" s="22">
        <f t="shared" si="2"/>
        <v>39000</v>
      </c>
      <c r="I12" s="19" t="str">
        <f t="shared" si="3"/>
        <v>50-99</v>
      </c>
      <c r="J12" s="23">
        <f>IF(D12&gt;=300,Escalas_Volumen!$D$8,IF(D12&gt;=100,Escalas_Volumen!$D$7,IF(D12&gt;=50,Escalas_Volumen!$D$6,IF(D12&gt;=30,Escalas_Volumen!$D$5,IF(D12&gt;=10,Escalas_Volumen!$D$4,Escalas_Volumen!$D$3)))))</f>
        <v>0.12</v>
      </c>
    </row>
    <row r="13">
      <c r="A13" s="19" t="s">
        <v>311</v>
      </c>
      <c r="B13" s="19" t="s">
        <v>250</v>
      </c>
      <c r="C13" s="19" t="s">
        <v>252</v>
      </c>
      <c r="D13" s="19">
        <v>50.0</v>
      </c>
      <c r="E13" s="22">
        <f>IF(D13&gt;=300,VLOOKUP(B13,Lista_Precios!$A:$L,10,FALSE),IF(D13&gt;=100,VLOOKUP(B13,Lista_Precios!$A:$L,9,FALSE),IF(D13&gt;=50,VLOOKUP(B13,Lista_Precios!$A:$L,8,FALSE),IF(D13&gt;=30,VLOOKUP(B13,Lista_Precios!$A:$L,7,FALSE),IF(D13&gt;=10,VLOOKUP(B13,Lista_Precios!$A:$L,6,FALSE),VLOOKUP(B13,Lista_Precios!$A:$L,5,FALSE))))))</f>
        <v>3080</v>
      </c>
      <c r="F13" s="22">
        <f t="shared" si="1"/>
        <v>154000</v>
      </c>
      <c r="G13" s="22">
        <f>VLOOKUP(B13,Productos!$A:$P,9,FALSE)</f>
        <v>2500</v>
      </c>
      <c r="H13" s="22">
        <f t="shared" si="2"/>
        <v>29000</v>
      </c>
      <c r="I13" s="19" t="str">
        <f t="shared" si="3"/>
        <v>50-99</v>
      </c>
      <c r="J13" s="23">
        <f>IF(D13&gt;=300,Escalas_Volumen!$D$8,IF(D13&gt;=100,Escalas_Volumen!$D$7,IF(D13&gt;=50,Escalas_Volumen!$D$6,IF(D13&gt;=30,Escalas_Volumen!$D$5,IF(D13&gt;=10,Escalas_Volumen!$D$4,Escalas_Volumen!$D$3)))))</f>
        <v>0.12</v>
      </c>
    </row>
    <row r="14">
      <c r="A14" s="19" t="s">
        <v>311</v>
      </c>
      <c r="B14" s="19" t="s">
        <v>216</v>
      </c>
      <c r="C14" s="19" t="s">
        <v>23</v>
      </c>
      <c r="D14" s="19">
        <v>6.0</v>
      </c>
      <c r="E14" s="22">
        <f>IF(D14&gt;=300,VLOOKUP(B14,Lista_Precios!$A:$L,10,FALSE),IF(D14&gt;=100,VLOOKUP(B14,Lista_Precios!$A:$L,9,FALSE),IF(D14&gt;=50,VLOOKUP(B14,Lista_Precios!$A:$L,8,FALSE),IF(D14&gt;=30,VLOOKUP(B14,Lista_Precios!$A:$L,7,FALSE),IF(D14&gt;=10,VLOOKUP(B14,Lista_Precios!$A:$L,6,FALSE),VLOOKUP(B14,Lista_Precios!$A:$L,5,FALSE))))))</f>
        <v>1990</v>
      </c>
      <c r="F14" s="22">
        <f t="shared" si="1"/>
        <v>11940</v>
      </c>
      <c r="G14" s="22">
        <f>VLOOKUP(B14,Productos!$A:$P,9,FALSE)</f>
        <v>1530</v>
      </c>
      <c r="H14" s="22">
        <f t="shared" si="2"/>
        <v>2760</v>
      </c>
      <c r="I14" s="19" t="str">
        <f t="shared" si="3"/>
        <v>1-9</v>
      </c>
      <c r="J14" s="23">
        <f>IF(D14&gt;=300,Escalas_Volumen!$D$8,IF(D14&gt;=100,Escalas_Volumen!$D$7,IF(D14&gt;=50,Escalas_Volumen!$D$6,IF(D14&gt;=30,Escalas_Volumen!$D$5,IF(D14&gt;=10,Escalas_Volumen!$D$4,Escalas_Volumen!$D$3)))))</f>
        <v>0</v>
      </c>
    </row>
    <row r="15">
      <c r="A15" s="19" t="s">
        <v>311</v>
      </c>
      <c r="B15" s="19" t="s">
        <v>213</v>
      </c>
      <c r="C15" s="19" t="s">
        <v>21</v>
      </c>
      <c r="D15" s="19">
        <v>12.0</v>
      </c>
      <c r="E15" s="22">
        <f>IF(D15&gt;=300,VLOOKUP(B15,Lista_Precios!$A:$L,10,FALSE),IF(D15&gt;=100,VLOOKUP(B15,Lista_Precios!$A:$L,9,FALSE),IF(D15&gt;=50,VLOOKUP(B15,Lista_Precios!$A:$L,8,FALSE),IF(D15&gt;=30,VLOOKUP(B15,Lista_Precios!$A:$L,7,FALSE),IF(D15&gt;=10,VLOOKUP(B15,Lista_Precios!$A:$L,6,FALSE),VLOOKUP(B15,Lista_Precios!$A:$L,5,FALSE))))))</f>
        <v>6640.5</v>
      </c>
      <c r="F15" s="22">
        <f t="shared" si="1"/>
        <v>79686</v>
      </c>
      <c r="G15" s="22">
        <f>VLOOKUP(B15,Productos!$A:$P,9,FALSE)</f>
        <v>5600</v>
      </c>
      <c r="H15" s="22">
        <f t="shared" si="2"/>
        <v>12486</v>
      </c>
      <c r="I15" s="19" t="str">
        <f t="shared" si="3"/>
        <v>10-29</v>
      </c>
      <c r="J15" s="23">
        <f>IF(D15&gt;=300,Escalas_Volumen!$D$8,IF(D15&gt;=100,Escalas_Volumen!$D$7,IF(D15&gt;=50,Escalas_Volumen!$D$6,IF(D15&gt;=30,Escalas_Volumen!$D$5,IF(D15&gt;=10,Escalas_Volumen!$D$4,Escalas_Volumen!$D$3)))))</f>
        <v>0.05</v>
      </c>
    </row>
    <row r="16">
      <c r="A16" s="19" t="s">
        <v>313</v>
      </c>
      <c r="B16" s="19" t="s">
        <v>219</v>
      </c>
      <c r="C16" s="19" t="s">
        <v>25</v>
      </c>
      <c r="D16" s="19">
        <v>15.0</v>
      </c>
      <c r="E16" s="22">
        <f>IF(D16&gt;=300,VLOOKUP(B16,Lista_Precios!$A:$L,10,FALSE),IF(D16&gt;=100,VLOOKUP(B16,Lista_Precios!$A:$L,9,FALSE),IF(D16&gt;=50,VLOOKUP(B16,Lista_Precios!$A:$L,8,FALSE),IF(D16&gt;=30,VLOOKUP(B16,Lista_Precios!$A:$L,7,FALSE),IF(D16&gt;=10,VLOOKUP(B16,Lista_Precios!$A:$L,6,FALSE),VLOOKUP(B16,Lista_Precios!$A:$L,5,FALSE))))))</f>
        <v>1225.5</v>
      </c>
      <c r="F16" s="22">
        <f t="shared" si="1"/>
        <v>18382.5</v>
      </c>
      <c r="G16" s="22">
        <f>VLOOKUP(B16,Productos!$A:$P,9,FALSE)</f>
        <v>820</v>
      </c>
      <c r="H16" s="22">
        <f t="shared" si="2"/>
        <v>6082.5</v>
      </c>
      <c r="I16" s="19" t="str">
        <f t="shared" si="3"/>
        <v>10-29</v>
      </c>
      <c r="J16" s="23">
        <f>IF(D16&gt;=300,Escalas_Volumen!$D$8,IF(D16&gt;=100,Escalas_Volumen!$D$7,IF(D16&gt;=50,Escalas_Volumen!$D$6,IF(D16&gt;=30,Escalas_Volumen!$D$5,IF(D16&gt;=10,Escalas_Volumen!$D$4,Escalas_Volumen!$D$3)))))</f>
        <v>0.05</v>
      </c>
    </row>
    <row r="17">
      <c r="A17" s="19" t="s">
        <v>313</v>
      </c>
      <c r="B17" s="19" t="s">
        <v>235</v>
      </c>
      <c r="C17" s="19" t="s">
        <v>32</v>
      </c>
      <c r="D17" s="19">
        <v>12.0</v>
      </c>
      <c r="E17" s="22">
        <f>IF(D17&gt;=300,VLOOKUP(B17,Lista_Precios!$A:$L,10,FALSE),IF(D17&gt;=100,VLOOKUP(B17,Lista_Precios!$A:$L,9,FALSE),IF(D17&gt;=50,VLOOKUP(B17,Lista_Precios!$A:$L,8,FALSE),IF(D17&gt;=30,VLOOKUP(B17,Lista_Precios!$A:$L,7,FALSE),IF(D17&gt;=10,VLOOKUP(B17,Lista_Precios!$A:$L,6,FALSE),VLOOKUP(B17,Lista_Precios!$A:$L,5,FALSE))))))</f>
        <v>41705</v>
      </c>
      <c r="F17" s="22">
        <f t="shared" si="1"/>
        <v>500460</v>
      </c>
      <c r="G17" s="22">
        <f>VLOOKUP(B17,Productos!$A:$P,9,FALSE)</f>
        <v>40300</v>
      </c>
      <c r="H17" s="22">
        <f t="shared" si="2"/>
        <v>16860</v>
      </c>
      <c r="I17" s="19" t="str">
        <f t="shared" si="3"/>
        <v>10-29</v>
      </c>
      <c r="J17" s="23">
        <f>IF(D17&gt;=300,Escalas_Volumen!$D$8,IF(D17&gt;=100,Escalas_Volumen!$D$7,IF(D17&gt;=50,Escalas_Volumen!$D$6,IF(D17&gt;=30,Escalas_Volumen!$D$5,IF(D17&gt;=10,Escalas_Volumen!$D$4,Escalas_Volumen!$D$3)))))</f>
        <v>0.05</v>
      </c>
    </row>
    <row r="18">
      <c r="A18" s="19" t="s">
        <v>313</v>
      </c>
      <c r="B18" s="19" t="s">
        <v>250</v>
      </c>
      <c r="C18" s="19" t="s">
        <v>252</v>
      </c>
      <c r="D18" s="19">
        <v>20.0</v>
      </c>
      <c r="E18" s="22">
        <f>IF(D18&gt;=300,VLOOKUP(B18,Lista_Precios!$A:$L,10,FALSE),IF(D18&gt;=100,VLOOKUP(B18,Lista_Precios!$A:$L,9,FALSE),IF(D18&gt;=50,VLOOKUP(B18,Lista_Precios!$A:$L,8,FALSE),IF(D18&gt;=30,VLOOKUP(B18,Lista_Precios!$A:$L,7,FALSE),IF(D18&gt;=10,VLOOKUP(B18,Lista_Precios!$A:$L,6,FALSE),VLOOKUP(B18,Lista_Precios!$A:$L,5,FALSE))))))</f>
        <v>3325</v>
      </c>
      <c r="F18" s="22">
        <f t="shared" si="1"/>
        <v>66500</v>
      </c>
      <c r="G18" s="22">
        <f>VLOOKUP(B18,Productos!$A:$P,9,FALSE)</f>
        <v>2500</v>
      </c>
      <c r="H18" s="22">
        <f t="shared" si="2"/>
        <v>16500</v>
      </c>
      <c r="I18" s="19" t="str">
        <f t="shared" si="3"/>
        <v>10-29</v>
      </c>
      <c r="J18" s="23">
        <f>IF(D18&gt;=300,Escalas_Volumen!$D$8,IF(D18&gt;=100,Escalas_Volumen!$D$7,IF(D18&gt;=50,Escalas_Volumen!$D$6,IF(D18&gt;=30,Escalas_Volumen!$D$5,IF(D18&gt;=10,Escalas_Volumen!$D$4,Escalas_Volumen!$D$3)))))</f>
        <v>0.05</v>
      </c>
    </row>
    <row r="19">
      <c r="A19" s="19" t="s">
        <v>313</v>
      </c>
      <c r="B19" s="19" t="s">
        <v>238</v>
      </c>
      <c r="C19" s="19" t="s">
        <v>240</v>
      </c>
      <c r="D19" s="19">
        <v>50.0</v>
      </c>
      <c r="E19" s="22">
        <f>IF(D19&gt;=300,VLOOKUP(B19,Lista_Precios!$A:$L,10,FALSE),IF(D19&gt;=100,VLOOKUP(B19,Lista_Precios!$A:$L,9,FALSE),IF(D19&gt;=50,VLOOKUP(B19,Lista_Precios!$A:$L,8,FALSE),IF(D19&gt;=30,VLOOKUP(B19,Lista_Precios!$A:$L,7,FALSE),IF(D19&gt;=10,VLOOKUP(B19,Lista_Precios!$A:$L,6,FALSE),VLOOKUP(B19,Lista_Precios!$A:$L,5,FALSE))))))</f>
        <v>5271.2</v>
      </c>
      <c r="F19" s="22">
        <f t="shared" si="1"/>
        <v>263560</v>
      </c>
      <c r="G19" s="22">
        <f>VLOOKUP(B19,Productos!$A:$P,9,FALSE)</f>
        <v>4350</v>
      </c>
      <c r="H19" s="22">
        <f t="shared" si="2"/>
        <v>46060</v>
      </c>
      <c r="I19" s="19" t="str">
        <f t="shared" si="3"/>
        <v>50-99</v>
      </c>
      <c r="J19" s="23">
        <f>IF(D19&gt;=300,Escalas_Volumen!$D$8,IF(D19&gt;=100,Escalas_Volumen!$D$7,IF(D19&gt;=50,Escalas_Volumen!$D$6,IF(D19&gt;=30,Escalas_Volumen!$D$5,IF(D19&gt;=10,Escalas_Volumen!$D$4,Escalas_Volumen!$D$3)))))</f>
        <v>0.12</v>
      </c>
    </row>
    <row r="20">
      <c r="A20" s="19" t="s">
        <v>314</v>
      </c>
      <c r="B20" s="19" t="s">
        <v>259</v>
      </c>
      <c r="C20" s="19" t="s">
        <v>262</v>
      </c>
      <c r="D20" s="19">
        <v>10.0</v>
      </c>
      <c r="E20" s="22">
        <f>IF(D20&gt;=300,VLOOKUP(B20,Lista_Precios!$A:$L,10,FALSE),IF(D20&gt;=100,VLOOKUP(B20,Lista_Precios!$A:$L,9,FALSE),IF(D20&gt;=50,VLOOKUP(B20,Lista_Precios!$A:$L,8,FALSE),IF(D20&gt;=30,VLOOKUP(B20,Lista_Precios!$A:$L,7,FALSE),IF(D20&gt;=10,VLOOKUP(B20,Lista_Precios!$A:$L,6,FALSE),VLOOKUP(B20,Lista_Precios!$A:$L,5,FALSE))))))</f>
        <v>1415.5</v>
      </c>
      <c r="F20" s="22">
        <f t="shared" si="1"/>
        <v>14155</v>
      </c>
      <c r="G20" s="22">
        <f>VLOOKUP(B20,Productos!$A:$P,9,FALSE)</f>
        <v>950</v>
      </c>
      <c r="H20" s="22">
        <f t="shared" si="2"/>
        <v>4655</v>
      </c>
      <c r="I20" s="19" t="str">
        <f t="shared" si="3"/>
        <v>10-29</v>
      </c>
      <c r="J20" s="23">
        <f>IF(D20&gt;=300,Escalas_Volumen!$D$8,IF(D20&gt;=100,Escalas_Volumen!$D$7,IF(D20&gt;=50,Escalas_Volumen!$D$6,IF(D20&gt;=30,Escalas_Volumen!$D$5,IF(D20&gt;=10,Escalas_Volumen!$D$4,Escalas_Volumen!$D$3)))))</f>
        <v>0.05</v>
      </c>
    </row>
    <row r="21" ht="15.75" customHeight="1">
      <c r="A21" s="19" t="s">
        <v>314</v>
      </c>
      <c r="B21" s="19" t="s">
        <v>219</v>
      </c>
      <c r="C21" s="19" t="s">
        <v>25</v>
      </c>
      <c r="D21" s="19">
        <v>30.0</v>
      </c>
      <c r="E21" s="22">
        <f>IF(D21&gt;=300,VLOOKUP(B21,Lista_Precios!$A:$L,10,FALSE),IF(D21&gt;=100,VLOOKUP(B21,Lista_Precios!$A:$L,9,FALSE),IF(D21&gt;=50,VLOOKUP(B21,Lista_Precios!$A:$L,8,FALSE),IF(D21&gt;=30,VLOOKUP(B21,Lista_Precios!$A:$L,7,FALSE),IF(D21&gt;=10,VLOOKUP(B21,Lista_Precios!$A:$L,6,FALSE),VLOOKUP(B21,Lista_Precios!$A:$L,5,FALSE))))))</f>
        <v>1186.8</v>
      </c>
      <c r="F21" s="22">
        <f t="shared" si="1"/>
        <v>35604</v>
      </c>
      <c r="G21" s="22">
        <f>VLOOKUP(B21,Productos!$A:$P,9,FALSE)</f>
        <v>820</v>
      </c>
      <c r="H21" s="22">
        <f t="shared" si="2"/>
        <v>11004</v>
      </c>
      <c r="I21" s="19" t="str">
        <f t="shared" si="3"/>
        <v>30-49</v>
      </c>
      <c r="J21" s="23">
        <f>IF(D21&gt;=300,Escalas_Volumen!$D$8,IF(D21&gt;=100,Escalas_Volumen!$D$7,IF(D21&gt;=50,Escalas_Volumen!$D$6,IF(D21&gt;=30,Escalas_Volumen!$D$5,IF(D21&gt;=10,Escalas_Volumen!$D$4,Escalas_Volumen!$D$3)))))</f>
        <v>0.08</v>
      </c>
    </row>
    <row r="22" ht="15.75" customHeight="1">
      <c r="A22" s="19" t="s">
        <v>314</v>
      </c>
      <c r="B22" s="19" t="s">
        <v>213</v>
      </c>
      <c r="C22" s="19" t="s">
        <v>21</v>
      </c>
      <c r="D22" s="19">
        <v>20.0</v>
      </c>
      <c r="E22" s="22">
        <f>IF(D22&gt;=300,VLOOKUP(B22,Lista_Precios!$A:$L,10,FALSE),IF(D22&gt;=100,VLOOKUP(B22,Lista_Precios!$A:$L,9,FALSE),IF(D22&gt;=50,VLOOKUP(B22,Lista_Precios!$A:$L,8,FALSE),IF(D22&gt;=30,VLOOKUP(B22,Lista_Precios!$A:$L,7,FALSE),IF(D22&gt;=10,VLOOKUP(B22,Lista_Precios!$A:$L,6,FALSE),VLOOKUP(B22,Lista_Precios!$A:$L,5,FALSE))))))</f>
        <v>6640.5</v>
      </c>
      <c r="F22" s="22">
        <f t="shared" si="1"/>
        <v>132810</v>
      </c>
      <c r="G22" s="22">
        <f>VLOOKUP(B22,Productos!$A:$P,9,FALSE)</f>
        <v>5600</v>
      </c>
      <c r="H22" s="22">
        <f t="shared" si="2"/>
        <v>20810</v>
      </c>
      <c r="I22" s="19" t="str">
        <f t="shared" si="3"/>
        <v>10-29</v>
      </c>
      <c r="J22" s="23">
        <f>IF(D22&gt;=300,Escalas_Volumen!$D$8,IF(D22&gt;=100,Escalas_Volumen!$D$7,IF(D22&gt;=50,Escalas_Volumen!$D$6,IF(D22&gt;=30,Escalas_Volumen!$D$5,IF(D22&gt;=10,Escalas_Volumen!$D$4,Escalas_Volumen!$D$3)))))</f>
        <v>0.05</v>
      </c>
    </row>
    <row r="23" ht="15.75" customHeight="1">
      <c r="A23" s="19" t="s">
        <v>314</v>
      </c>
      <c r="B23" s="19" t="s">
        <v>243</v>
      </c>
      <c r="C23" s="19" t="s">
        <v>246</v>
      </c>
      <c r="D23" s="19">
        <v>12.0</v>
      </c>
      <c r="E23" s="22">
        <f>IF(D23&gt;=300,VLOOKUP(B23,Lista_Precios!$A:$L,10,FALSE),IF(D23&gt;=100,VLOOKUP(B23,Lista_Precios!$A:$L,9,FALSE),IF(D23&gt;=50,VLOOKUP(B23,Lista_Precios!$A:$L,8,FALSE),IF(D23&gt;=30,VLOOKUP(B23,Lista_Precios!$A:$L,7,FALSE),IF(D23&gt;=10,VLOOKUP(B23,Lista_Precios!$A:$L,6,FALSE),VLOOKUP(B23,Lista_Precios!$A:$L,5,FALSE))))))</f>
        <v>1510.5</v>
      </c>
      <c r="F23" s="22">
        <f t="shared" si="1"/>
        <v>18126</v>
      </c>
      <c r="G23" s="22">
        <f>VLOOKUP(B23,Productos!$A:$P,9,FALSE)</f>
        <v>1130</v>
      </c>
      <c r="H23" s="22">
        <f t="shared" si="2"/>
        <v>4566</v>
      </c>
      <c r="I23" s="19" t="str">
        <f t="shared" si="3"/>
        <v>10-29</v>
      </c>
      <c r="J23" s="23">
        <f>IF(D23&gt;=300,Escalas_Volumen!$D$8,IF(D23&gt;=100,Escalas_Volumen!$D$7,IF(D23&gt;=50,Escalas_Volumen!$D$6,IF(D23&gt;=30,Escalas_Volumen!$D$5,IF(D23&gt;=10,Escalas_Volumen!$D$4,Escalas_Volumen!$D$3)))))</f>
        <v>0.05</v>
      </c>
    </row>
    <row r="24" ht="15.75" customHeight="1">
      <c r="A24" s="19" t="s">
        <v>316</v>
      </c>
      <c r="B24" s="19" t="s">
        <v>238</v>
      </c>
      <c r="C24" s="19" t="s">
        <v>240</v>
      </c>
      <c r="D24" s="19">
        <v>5.0</v>
      </c>
      <c r="E24" s="22">
        <f>IF(D24&gt;=300,VLOOKUP(B24,Lista_Precios!$A:$L,10,FALSE),IF(D24&gt;=100,VLOOKUP(B24,Lista_Precios!$A:$L,9,FALSE),IF(D24&gt;=50,VLOOKUP(B24,Lista_Precios!$A:$L,8,FALSE),IF(D24&gt;=30,VLOOKUP(B24,Lista_Precios!$A:$L,7,FALSE),IF(D24&gt;=10,VLOOKUP(B24,Lista_Precios!$A:$L,6,FALSE),VLOOKUP(B24,Lista_Precios!$A:$L,5,FALSE))))))</f>
        <v>5990</v>
      </c>
      <c r="F24" s="22">
        <f t="shared" si="1"/>
        <v>29950</v>
      </c>
      <c r="G24" s="22">
        <f>VLOOKUP(B24,Productos!$A:$P,9,FALSE)</f>
        <v>4350</v>
      </c>
      <c r="H24" s="22">
        <f t="shared" si="2"/>
        <v>8200</v>
      </c>
      <c r="I24" s="19" t="str">
        <f t="shared" si="3"/>
        <v>1-9</v>
      </c>
      <c r="J24" s="23">
        <f>IF(D24&gt;=300,Escalas_Volumen!$D$8,IF(D24&gt;=100,Escalas_Volumen!$D$7,IF(D24&gt;=50,Escalas_Volumen!$D$6,IF(D24&gt;=30,Escalas_Volumen!$D$5,IF(D24&gt;=10,Escalas_Volumen!$D$4,Escalas_Volumen!$D$3)))))</f>
        <v>0</v>
      </c>
    </row>
    <row r="25" ht="15.75" customHeight="1">
      <c r="A25" s="19" t="s">
        <v>316</v>
      </c>
      <c r="B25" s="19" t="s">
        <v>229</v>
      </c>
      <c r="C25" s="19" t="s">
        <v>31</v>
      </c>
      <c r="D25" s="19">
        <v>12.0</v>
      </c>
      <c r="E25" s="22">
        <f>IF(D25&gt;=300,VLOOKUP(B25,Lista_Precios!$A:$L,10,FALSE),IF(D25&gt;=100,VLOOKUP(B25,Lista_Precios!$A:$L,9,FALSE),IF(D25&gt;=50,VLOOKUP(B25,Lista_Precios!$A:$L,8,FALSE),IF(D25&gt;=30,VLOOKUP(B25,Lista_Precios!$A:$L,7,FALSE),IF(D25&gt;=10,VLOOKUP(B25,Lista_Precios!$A:$L,6,FALSE),VLOOKUP(B25,Lista_Precios!$A:$L,5,FALSE))))))</f>
        <v>7125</v>
      </c>
      <c r="F25" s="22">
        <f t="shared" si="1"/>
        <v>85500</v>
      </c>
      <c r="G25" s="22">
        <f>VLOOKUP(B25,Productos!$A:$P,9,FALSE)</f>
        <v>6300</v>
      </c>
      <c r="H25" s="22">
        <f t="shared" si="2"/>
        <v>9900</v>
      </c>
      <c r="I25" s="19" t="str">
        <f t="shared" si="3"/>
        <v>10-29</v>
      </c>
      <c r="J25" s="23">
        <f>IF(D25&gt;=300,Escalas_Volumen!$D$8,IF(D25&gt;=100,Escalas_Volumen!$D$7,IF(D25&gt;=50,Escalas_Volumen!$D$6,IF(D25&gt;=30,Escalas_Volumen!$D$5,IF(D25&gt;=10,Escalas_Volumen!$D$4,Escalas_Volumen!$D$3)))))</f>
        <v>0.05</v>
      </c>
    </row>
    <row r="26" ht="15.75" customHeight="1">
      <c r="A26" s="19" t="s">
        <v>317</v>
      </c>
      <c r="B26" s="19" t="s">
        <v>243</v>
      </c>
      <c r="C26" s="19" t="s">
        <v>246</v>
      </c>
      <c r="D26" s="19">
        <v>12.0</v>
      </c>
      <c r="E26" s="22">
        <f>IF(D26&gt;=300,VLOOKUP(B26,Lista_Precios!$A:$L,10,FALSE),IF(D26&gt;=100,VLOOKUP(B26,Lista_Precios!$A:$L,9,FALSE),IF(D26&gt;=50,VLOOKUP(B26,Lista_Precios!$A:$L,8,FALSE),IF(D26&gt;=30,VLOOKUP(B26,Lista_Precios!$A:$L,7,FALSE),IF(D26&gt;=10,VLOOKUP(B26,Lista_Precios!$A:$L,6,FALSE),VLOOKUP(B26,Lista_Precios!$A:$L,5,FALSE))))))</f>
        <v>1510.5</v>
      </c>
      <c r="F26" s="22">
        <f t="shared" si="1"/>
        <v>18126</v>
      </c>
      <c r="G26" s="22">
        <f>VLOOKUP(B26,Productos!$A:$P,9,FALSE)</f>
        <v>1130</v>
      </c>
      <c r="H26" s="22">
        <f t="shared" si="2"/>
        <v>4566</v>
      </c>
      <c r="I26" s="19" t="str">
        <f t="shared" si="3"/>
        <v>10-29</v>
      </c>
      <c r="J26" s="23">
        <f>IF(D26&gt;=300,Escalas_Volumen!$D$8,IF(D26&gt;=100,Escalas_Volumen!$D$7,IF(D26&gt;=50,Escalas_Volumen!$D$6,IF(D26&gt;=30,Escalas_Volumen!$D$5,IF(D26&gt;=10,Escalas_Volumen!$D$4,Escalas_Volumen!$D$3)))))</f>
        <v>0.05</v>
      </c>
    </row>
    <row r="27" ht="15.75" customHeight="1">
      <c r="A27" s="19" t="s">
        <v>317</v>
      </c>
      <c r="B27" s="19" t="s">
        <v>259</v>
      </c>
      <c r="C27" s="19" t="s">
        <v>262</v>
      </c>
      <c r="D27" s="19">
        <v>50.0</v>
      </c>
      <c r="E27" s="22">
        <f>IF(D27&gt;=300,VLOOKUP(B27,Lista_Precios!$A:$L,10,FALSE),IF(D27&gt;=100,VLOOKUP(B27,Lista_Precios!$A:$L,9,FALSE),IF(D27&gt;=50,VLOOKUP(B27,Lista_Precios!$A:$L,8,FALSE),IF(D27&gt;=30,VLOOKUP(B27,Lista_Precios!$A:$L,7,FALSE),IF(D27&gt;=10,VLOOKUP(B27,Lista_Precios!$A:$L,6,FALSE),VLOOKUP(B27,Lista_Precios!$A:$L,5,FALSE))))))</f>
        <v>1311.2</v>
      </c>
      <c r="F27" s="22">
        <f t="shared" si="1"/>
        <v>65560</v>
      </c>
      <c r="G27" s="22">
        <f>VLOOKUP(B27,Productos!$A:$P,9,FALSE)</f>
        <v>950</v>
      </c>
      <c r="H27" s="22">
        <f t="shared" si="2"/>
        <v>18060</v>
      </c>
      <c r="I27" s="19" t="str">
        <f t="shared" si="3"/>
        <v>50-99</v>
      </c>
      <c r="J27" s="23">
        <f>IF(D27&gt;=300,Escalas_Volumen!$D$8,IF(D27&gt;=100,Escalas_Volumen!$D$7,IF(D27&gt;=50,Escalas_Volumen!$D$6,IF(D27&gt;=30,Escalas_Volumen!$D$5,IF(D27&gt;=10,Escalas_Volumen!$D$4,Escalas_Volumen!$D$3)))))</f>
        <v>0.12</v>
      </c>
    </row>
    <row r="28" ht="15.75" customHeight="1">
      <c r="A28" s="19" t="s">
        <v>317</v>
      </c>
      <c r="B28" s="19" t="s">
        <v>227</v>
      </c>
      <c r="C28" s="19" t="s">
        <v>29</v>
      </c>
      <c r="D28" s="19">
        <v>20.0</v>
      </c>
      <c r="E28" s="22">
        <f>IF(D28&gt;=300,VLOOKUP(B28,Lista_Precios!$A:$L,10,FALSE),IF(D28&gt;=100,VLOOKUP(B28,Lista_Precios!$A:$L,9,FALSE),IF(D28&gt;=50,VLOOKUP(B28,Lista_Precios!$A:$L,8,FALSE),IF(D28&gt;=30,VLOOKUP(B28,Lista_Precios!$A:$L,7,FALSE),IF(D28&gt;=10,VLOOKUP(B28,Lista_Precios!$A:$L,6,FALSE),VLOOKUP(B28,Lista_Precios!$A:$L,5,FALSE))))))</f>
        <v>3315.5</v>
      </c>
      <c r="F28" s="22">
        <f t="shared" si="1"/>
        <v>66310</v>
      </c>
      <c r="G28" s="22">
        <f>VLOOKUP(B28,Productos!$A:$P,9,FALSE)</f>
        <v>2500</v>
      </c>
      <c r="H28" s="22">
        <f t="shared" si="2"/>
        <v>16310</v>
      </c>
      <c r="I28" s="19" t="str">
        <f t="shared" si="3"/>
        <v>10-29</v>
      </c>
      <c r="J28" s="23">
        <f>IF(D28&gt;=300,Escalas_Volumen!$D$8,IF(D28&gt;=100,Escalas_Volumen!$D$7,IF(D28&gt;=50,Escalas_Volumen!$D$6,IF(D28&gt;=30,Escalas_Volumen!$D$5,IF(D28&gt;=10,Escalas_Volumen!$D$4,Escalas_Volumen!$D$3)))))</f>
        <v>0.05</v>
      </c>
    </row>
    <row r="29" ht="15.75" customHeight="1">
      <c r="A29" s="19" t="s">
        <v>317</v>
      </c>
      <c r="B29" s="19" t="s">
        <v>255</v>
      </c>
      <c r="C29" s="19" t="s">
        <v>257</v>
      </c>
      <c r="D29" s="19">
        <v>50.0</v>
      </c>
      <c r="E29" s="22">
        <f>IF(D29&gt;=300,VLOOKUP(B29,Lista_Precios!$A:$L,10,FALSE),IF(D29&gt;=100,VLOOKUP(B29,Lista_Precios!$A:$L,9,FALSE),IF(D29&gt;=50,VLOOKUP(B29,Lista_Precios!$A:$L,8,FALSE),IF(D29&gt;=30,VLOOKUP(B29,Lista_Precios!$A:$L,7,FALSE),IF(D29&gt;=10,VLOOKUP(B29,Lista_Precios!$A:$L,6,FALSE),VLOOKUP(B29,Lista_Precios!$A:$L,5,FALSE))))))</f>
        <v>3344</v>
      </c>
      <c r="F29" s="22">
        <f t="shared" si="1"/>
        <v>167200</v>
      </c>
      <c r="G29" s="22">
        <f>VLOOKUP(B29,Productos!$A:$P,9,FALSE)</f>
        <v>2860</v>
      </c>
      <c r="H29" s="22">
        <f t="shared" si="2"/>
        <v>24200</v>
      </c>
      <c r="I29" s="19" t="str">
        <f t="shared" si="3"/>
        <v>50-99</v>
      </c>
      <c r="J29" s="23">
        <f>IF(D29&gt;=300,Escalas_Volumen!$D$8,IF(D29&gt;=100,Escalas_Volumen!$D$7,IF(D29&gt;=50,Escalas_Volumen!$D$6,IF(D29&gt;=30,Escalas_Volumen!$D$5,IF(D29&gt;=10,Escalas_Volumen!$D$4,Escalas_Volumen!$D$3)))))</f>
        <v>0.12</v>
      </c>
    </row>
    <row r="30" ht="15.75" customHeight="1">
      <c r="A30" s="19" t="s">
        <v>318</v>
      </c>
      <c r="B30" s="19" t="s">
        <v>250</v>
      </c>
      <c r="C30" s="19" t="s">
        <v>252</v>
      </c>
      <c r="D30" s="19">
        <v>50.0</v>
      </c>
      <c r="E30" s="22">
        <f>IF(D30&gt;=300,VLOOKUP(B30,Lista_Precios!$A:$L,10,FALSE),IF(D30&gt;=100,VLOOKUP(B30,Lista_Precios!$A:$L,9,FALSE),IF(D30&gt;=50,VLOOKUP(B30,Lista_Precios!$A:$L,8,FALSE),IF(D30&gt;=30,VLOOKUP(B30,Lista_Precios!$A:$L,7,FALSE),IF(D30&gt;=10,VLOOKUP(B30,Lista_Precios!$A:$L,6,FALSE),VLOOKUP(B30,Lista_Precios!$A:$L,5,FALSE))))))</f>
        <v>3080</v>
      </c>
      <c r="F30" s="22">
        <f t="shared" si="1"/>
        <v>154000</v>
      </c>
      <c r="G30" s="22">
        <f>VLOOKUP(B30,Productos!$A:$P,9,FALSE)</f>
        <v>2500</v>
      </c>
      <c r="H30" s="22">
        <f t="shared" si="2"/>
        <v>29000</v>
      </c>
      <c r="I30" s="19" t="str">
        <f t="shared" si="3"/>
        <v>50-99</v>
      </c>
      <c r="J30" s="23">
        <f>IF(D30&gt;=300,Escalas_Volumen!$D$8,IF(D30&gt;=100,Escalas_Volumen!$D$7,IF(D30&gt;=50,Escalas_Volumen!$D$6,IF(D30&gt;=30,Escalas_Volumen!$D$5,IF(D30&gt;=10,Escalas_Volumen!$D$4,Escalas_Volumen!$D$3)))))</f>
        <v>0.12</v>
      </c>
    </row>
    <row r="31" ht="15.75" customHeight="1">
      <c r="A31" s="19" t="s">
        <v>318</v>
      </c>
      <c r="B31" s="19" t="s">
        <v>213</v>
      </c>
      <c r="C31" s="19" t="s">
        <v>21</v>
      </c>
      <c r="D31" s="19">
        <v>20.0</v>
      </c>
      <c r="E31" s="22">
        <f>IF(D31&gt;=300,VLOOKUP(B31,Lista_Precios!$A:$L,10,FALSE),IF(D31&gt;=100,VLOOKUP(B31,Lista_Precios!$A:$L,9,FALSE),IF(D31&gt;=50,VLOOKUP(B31,Lista_Precios!$A:$L,8,FALSE),IF(D31&gt;=30,VLOOKUP(B31,Lista_Precios!$A:$L,7,FALSE),IF(D31&gt;=10,VLOOKUP(B31,Lista_Precios!$A:$L,6,FALSE),VLOOKUP(B31,Lista_Precios!$A:$L,5,FALSE))))))</f>
        <v>6640.5</v>
      </c>
      <c r="F31" s="22">
        <f t="shared" si="1"/>
        <v>132810</v>
      </c>
      <c r="G31" s="22">
        <f>VLOOKUP(B31,Productos!$A:$P,9,FALSE)</f>
        <v>5600</v>
      </c>
      <c r="H31" s="22">
        <f t="shared" si="2"/>
        <v>20810</v>
      </c>
      <c r="I31" s="19" t="str">
        <f t="shared" si="3"/>
        <v>10-29</v>
      </c>
      <c r="J31" s="23">
        <f>IF(D31&gt;=300,Escalas_Volumen!$D$8,IF(D31&gt;=100,Escalas_Volumen!$D$7,IF(D31&gt;=50,Escalas_Volumen!$D$6,IF(D31&gt;=30,Escalas_Volumen!$D$5,IF(D31&gt;=10,Escalas_Volumen!$D$4,Escalas_Volumen!$D$3)))))</f>
        <v>0.05</v>
      </c>
    </row>
    <row r="32" ht="15.75" customHeight="1">
      <c r="A32" s="19" t="s">
        <v>318</v>
      </c>
      <c r="B32" s="19" t="s">
        <v>207</v>
      </c>
      <c r="C32" s="19" t="s">
        <v>19</v>
      </c>
      <c r="D32" s="19">
        <v>10.0</v>
      </c>
      <c r="E32" s="22">
        <f>IF(D32&gt;=300,VLOOKUP(B32,Lista_Precios!$A:$L,10,FALSE),IF(D32&gt;=100,VLOOKUP(B32,Lista_Precios!$A:$L,9,FALSE),IF(D32&gt;=50,VLOOKUP(B32,Lista_Precios!$A:$L,8,FALSE),IF(D32&gt;=30,VLOOKUP(B32,Lista_Precios!$A:$L,7,FALSE),IF(D32&gt;=10,VLOOKUP(B32,Lista_Precios!$A:$L,6,FALSE),VLOOKUP(B32,Lista_Precios!$A:$L,5,FALSE))))))</f>
        <v>2365.5</v>
      </c>
      <c r="F32" s="22">
        <f t="shared" si="1"/>
        <v>23655</v>
      </c>
      <c r="G32" s="22">
        <f>VLOOKUP(B32,Productos!$A:$P,9,FALSE)</f>
        <v>1970</v>
      </c>
      <c r="H32" s="22">
        <f t="shared" si="2"/>
        <v>3955</v>
      </c>
      <c r="I32" s="19" t="str">
        <f t="shared" si="3"/>
        <v>10-29</v>
      </c>
      <c r="J32" s="23">
        <f>IF(D32&gt;=300,Escalas_Volumen!$D$8,IF(D32&gt;=100,Escalas_Volumen!$D$7,IF(D32&gt;=50,Escalas_Volumen!$D$6,IF(D32&gt;=30,Escalas_Volumen!$D$5,IF(D32&gt;=10,Escalas_Volumen!$D$4,Escalas_Volumen!$D$3)))))</f>
        <v>0.05</v>
      </c>
    </row>
    <row r="33" ht="15.75" customHeight="1">
      <c r="A33" s="19" t="s">
        <v>318</v>
      </c>
      <c r="B33" s="19" t="s">
        <v>224</v>
      </c>
      <c r="C33" s="19" t="s">
        <v>27</v>
      </c>
      <c r="D33" s="19">
        <v>15.0</v>
      </c>
      <c r="E33" s="22">
        <f>IF(D33&gt;=300,VLOOKUP(B33,Lista_Precios!$A:$L,10,FALSE),IF(D33&gt;=100,VLOOKUP(B33,Lista_Precios!$A:$L,9,FALSE),IF(D33&gt;=50,VLOOKUP(B33,Lista_Precios!$A:$L,8,FALSE),IF(D33&gt;=30,VLOOKUP(B33,Lista_Precios!$A:$L,7,FALSE),IF(D33&gt;=10,VLOOKUP(B33,Lista_Precios!$A:$L,6,FALSE),VLOOKUP(B33,Lista_Precios!$A:$L,5,FALSE))))))</f>
        <v>750.5</v>
      </c>
      <c r="F33" s="22">
        <f t="shared" si="1"/>
        <v>11257.5</v>
      </c>
      <c r="G33" s="22">
        <f>VLOOKUP(B33,Productos!$A:$P,9,FALSE)</f>
        <v>420</v>
      </c>
      <c r="H33" s="22">
        <f t="shared" si="2"/>
        <v>4957.5</v>
      </c>
      <c r="I33" s="19" t="str">
        <f t="shared" si="3"/>
        <v>10-29</v>
      </c>
      <c r="J33" s="23">
        <f>IF(D33&gt;=300,Escalas_Volumen!$D$8,IF(D33&gt;=100,Escalas_Volumen!$D$7,IF(D33&gt;=50,Escalas_Volumen!$D$6,IF(D33&gt;=30,Escalas_Volumen!$D$5,IF(D33&gt;=10,Escalas_Volumen!$D$4,Escalas_Volumen!$D$3)))))</f>
        <v>0.05</v>
      </c>
    </row>
    <row r="34" ht="15.75" customHeight="1">
      <c r="A34" s="19" t="s">
        <v>321</v>
      </c>
      <c r="B34" s="19" t="s">
        <v>243</v>
      </c>
      <c r="C34" s="19" t="s">
        <v>246</v>
      </c>
      <c r="D34" s="19">
        <v>20.0</v>
      </c>
      <c r="E34" s="22">
        <f>IF(D34&gt;=300,VLOOKUP(B34,Lista_Precios!$A:$L,10,FALSE),IF(D34&gt;=100,VLOOKUP(B34,Lista_Precios!$A:$L,9,FALSE),IF(D34&gt;=50,VLOOKUP(B34,Lista_Precios!$A:$L,8,FALSE),IF(D34&gt;=30,VLOOKUP(B34,Lista_Precios!$A:$L,7,FALSE),IF(D34&gt;=10,VLOOKUP(B34,Lista_Precios!$A:$L,6,FALSE),VLOOKUP(B34,Lista_Precios!$A:$L,5,FALSE))))))</f>
        <v>1510.5</v>
      </c>
      <c r="F34" s="22">
        <f t="shared" si="1"/>
        <v>30210</v>
      </c>
      <c r="G34" s="22">
        <f>VLOOKUP(B34,Productos!$A:$P,9,FALSE)</f>
        <v>1130</v>
      </c>
      <c r="H34" s="22">
        <f t="shared" si="2"/>
        <v>7610</v>
      </c>
      <c r="I34" s="19" t="str">
        <f t="shared" si="3"/>
        <v>10-29</v>
      </c>
      <c r="J34" s="23">
        <f>IF(D34&gt;=300,Escalas_Volumen!$D$8,IF(D34&gt;=100,Escalas_Volumen!$D$7,IF(D34&gt;=50,Escalas_Volumen!$D$6,IF(D34&gt;=30,Escalas_Volumen!$D$5,IF(D34&gt;=10,Escalas_Volumen!$D$4,Escalas_Volumen!$D$3)))))</f>
        <v>0.05</v>
      </c>
    </row>
    <row r="35" ht="15.75" customHeight="1">
      <c r="A35" s="19" t="s">
        <v>321</v>
      </c>
      <c r="B35" s="19" t="s">
        <v>213</v>
      </c>
      <c r="C35" s="19" t="s">
        <v>21</v>
      </c>
      <c r="D35" s="19">
        <v>2.0</v>
      </c>
      <c r="E35" s="22">
        <f>IF(D35&gt;=300,VLOOKUP(B35,Lista_Precios!$A:$L,10,FALSE),IF(D35&gt;=100,VLOOKUP(B35,Lista_Precios!$A:$L,9,FALSE),IF(D35&gt;=50,VLOOKUP(B35,Lista_Precios!$A:$L,8,FALSE),IF(D35&gt;=30,VLOOKUP(B35,Lista_Precios!$A:$L,7,FALSE),IF(D35&gt;=10,VLOOKUP(B35,Lista_Precios!$A:$L,6,FALSE),VLOOKUP(B35,Lista_Precios!$A:$L,5,FALSE))))))</f>
        <v>6990</v>
      </c>
      <c r="F35" s="22">
        <f t="shared" si="1"/>
        <v>13980</v>
      </c>
      <c r="G35" s="22">
        <f>VLOOKUP(B35,Productos!$A:$P,9,FALSE)</f>
        <v>5600</v>
      </c>
      <c r="H35" s="22">
        <f t="shared" si="2"/>
        <v>2780</v>
      </c>
      <c r="I35" s="19" t="str">
        <f t="shared" si="3"/>
        <v>1-9</v>
      </c>
      <c r="J35" s="23">
        <f>IF(D35&gt;=300,Escalas_Volumen!$D$8,IF(D35&gt;=100,Escalas_Volumen!$D$7,IF(D35&gt;=50,Escalas_Volumen!$D$6,IF(D35&gt;=30,Escalas_Volumen!$D$5,IF(D35&gt;=10,Escalas_Volumen!$D$4,Escalas_Volumen!$D$3)))))</f>
        <v>0</v>
      </c>
    </row>
    <row r="36" ht="15.75" customHeight="1">
      <c r="A36" s="19" t="s">
        <v>322</v>
      </c>
      <c r="B36" s="19" t="s">
        <v>229</v>
      </c>
      <c r="C36" s="19" t="s">
        <v>31</v>
      </c>
      <c r="D36" s="19">
        <v>5.0</v>
      </c>
      <c r="E36" s="22">
        <f>IF(D36&gt;=300,VLOOKUP(B36,Lista_Precios!$A:$L,10,FALSE),IF(D36&gt;=100,VLOOKUP(B36,Lista_Precios!$A:$L,9,FALSE),IF(D36&gt;=50,VLOOKUP(B36,Lista_Precios!$A:$L,8,FALSE),IF(D36&gt;=30,VLOOKUP(B36,Lista_Precios!$A:$L,7,FALSE),IF(D36&gt;=10,VLOOKUP(B36,Lista_Precios!$A:$L,6,FALSE),VLOOKUP(B36,Lista_Precios!$A:$L,5,FALSE))))))</f>
        <v>7500</v>
      </c>
      <c r="F36" s="22">
        <f t="shared" si="1"/>
        <v>37500</v>
      </c>
      <c r="G36" s="22">
        <f>VLOOKUP(B36,Productos!$A:$P,9,FALSE)</f>
        <v>6300</v>
      </c>
      <c r="H36" s="22">
        <f t="shared" si="2"/>
        <v>6000</v>
      </c>
      <c r="I36" s="19" t="str">
        <f t="shared" si="3"/>
        <v>1-9</v>
      </c>
      <c r="J36" s="23">
        <f>IF(D36&gt;=300,Escalas_Volumen!$D$8,IF(D36&gt;=100,Escalas_Volumen!$D$7,IF(D36&gt;=50,Escalas_Volumen!$D$6,IF(D36&gt;=30,Escalas_Volumen!$D$5,IF(D36&gt;=10,Escalas_Volumen!$D$4,Escalas_Volumen!$D$3)))))</f>
        <v>0</v>
      </c>
    </row>
    <row r="37" ht="15.75" customHeight="1">
      <c r="A37" s="19" t="s">
        <v>322</v>
      </c>
      <c r="B37" s="19" t="s">
        <v>235</v>
      </c>
      <c r="C37" s="19" t="s">
        <v>32</v>
      </c>
      <c r="D37" s="19">
        <v>20.0</v>
      </c>
      <c r="E37" s="22">
        <f>IF(D37&gt;=300,VLOOKUP(B37,Lista_Precios!$A:$L,10,FALSE),IF(D37&gt;=100,VLOOKUP(B37,Lista_Precios!$A:$L,9,FALSE),IF(D37&gt;=50,VLOOKUP(B37,Lista_Precios!$A:$L,8,FALSE),IF(D37&gt;=30,VLOOKUP(B37,Lista_Precios!$A:$L,7,FALSE),IF(D37&gt;=10,VLOOKUP(B37,Lista_Precios!$A:$L,6,FALSE),VLOOKUP(B37,Lista_Precios!$A:$L,5,FALSE))))))</f>
        <v>41705</v>
      </c>
      <c r="F37" s="22">
        <f t="shared" si="1"/>
        <v>834100</v>
      </c>
      <c r="G37" s="22">
        <f>VLOOKUP(B37,Productos!$A:$P,9,FALSE)</f>
        <v>40300</v>
      </c>
      <c r="H37" s="22">
        <f t="shared" si="2"/>
        <v>28100</v>
      </c>
      <c r="I37" s="19" t="str">
        <f t="shared" si="3"/>
        <v>10-29</v>
      </c>
      <c r="J37" s="23">
        <f>IF(D37&gt;=300,Escalas_Volumen!$D$8,IF(D37&gt;=100,Escalas_Volumen!$D$7,IF(D37&gt;=50,Escalas_Volumen!$D$6,IF(D37&gt;=30,Escalas_Volumen!$D$5,IF(D37&gt;=10,Escalas_Volumen!$D$4,Escalas_Volumen!$D$3)))))</f>
        <v>0.05</v>
      </c>
    </row>
    <row r="38" ht="15.75" customHeight="1">
      <c r="A38" s="19" t="s">
        <v>322</v>
      </c>
      <c r="B38" s="19" t="s">
        <v>213</v>
      </c>
      <c r="C38" s="19" t="s">
        <v>21</v>
      </c>
      <c r="D38" s="19">
        <v>15.0</v>
      </c>
      <c r="E38" s="22">
        <f>IF(D38&gt;=300,VLOOKUP(B38,Lista_Precios!$A:$L,10,FALSE),IF(D38&gt;=100,VLOOKUP(B38,Lista_Precios!$A:$L,9,FALSE),IF(D38&gt;=50,VLOOKUP(B38,Lista_Precios!$A:$L,8,FALSE),IF(D38&gt;=30,VLOOKUP(B38,Lista_Precios!$A:$L,7,FALSE),IF(D38&gt;=10,VLOOKUP(B38,Lista_Precios!$A:$L,6,FALSE),VLOOKUP(B38,Lista_Precios!$A:$L,5,FALSE))))))</f>
        <v>6640.5</v>
      </c>
      <c r="F38" s="22">
        <f t="shared" si="1"/>
        <v>99607.5</v>
      </c>
      <c r="G38" s="22">
        <f>VLOOKUP(B38,Productos!$A:$P,9,FALSE)</f>
        <v>5600</v>
      </c>
      <c r="H38" s="22">
        <f t="shared" si="2"/>
        <v>15607.5</v>
      </c>
      <c r="I38" s="19" t="str">
        <f t="shared" si="3"/>
        <v>10-29</v>
      </c>
      <c r="J38" s="23">
        <f>IF(D38&gt;=300,Escalas_Volumen!$D$8,IF(D38&gt;=100,Escalas_Volumen!$D$7,IF(D38&gt;=50,Escalas_Volumen!$D$6,IF(D38&gt;=30,Escalas_Volumen!$D$5,IF(D38&gt;=10,Escalas_Volumen!$D$4,Escalas_Volumen!$D$3)))))</f>
        <v>0.05</v>
      </c>
    </row>
    <row r="39" ht="15.75" customHeight="1">
      <c r="A39" s="19" t="s">
        <v>323</v>
      </c>
      <c r="B39" s="19" t="s">
        <v>229</v>
      </c>
      <c r="C39" s="19" t="s">
        <v>31</v>
      </c>
      <c r="D39" s="19">
        <v>6.0</v>
      </c>
      <c r="E39" s="22">
        <f>IF(D39&gt;=300,VLOOKUP(B39,Lista_Precios!$A:$L,10,FALSE),IF(D39&gt;=100,VLOOKUP(B39,Lista_Precios!$A:$L,9,FALSE),IF(D39&gt;=50,VLOOKUP(B39,Lista_Precios!$A:$L,8,FALSE),IF(D39&gt;=30,VLOOKUP(B39,Lista_Precios!$A:$L,7,FALSE),IF(D39&gt;=10,VLOOKUP(B39,Lista_Precios!$A:$L,6,FALSE),VLOOKUP(B39,Lista_Precios!$A:$L,5,FALSE))))))</f>
        <v>7500</v>
      </c>
      <c r="F39" s="22">
        <f t="shared" si="1"/>
        <v>45000</v>
      </c>
      <c r="G39" s="22">
        <f>VLOOKUP(B39,Productos!$A:$P,9,FALSE)</f>
        <v>6300</v>
      </c>
      <c r="H39" s="22">
        <f t="shared" si="2"/>
        <v>7200</v>
      </c>
      <c r="I39" s="19" t="str">
        <f t="shared" si="3"/>
        <v>1-9</v>
      </c>
      <c r="J39" s="23">
        <f>IF(D39&gt;=300,Escalas_Volumen!$D$8,IF(D39&gt;=100,Escalas_Volumen!$D$7,IF(D39&gt;=50,Escalas_Volumen!$D$6,IF(D39&gt;=30,Escalas_Volumen!$D$5,IF(D39&gt;=10,Escalas_Volumen!$D$4,Escalas_Volumen!$D$3)))))</f>
        <v>0</v>
      </c>
    </row>
    <row r="40" ht="15.75" customHeight="1">
      <c r="A40" s="19" t="s">
        <v>323</v>
      </c>
      <c r="B40" s="19" t="s">
        <v>227</v>
      </c>
      <c r="C40" s="19" t="s">
        <v>29</v>
      </c>
      <c r="D40" s="19">
        <v>5.0</v>
      </c>
      <c r="E40" s="22">
        <f>IF(D40&gt;=300,VLOOKUP(B40,Lista_Precios!$A:$L,10,FALSE),IF(D40&gt;=100,VLOOKUP(B40,Lista_Precios!$A:$L,9,FALSE),IF(D40&gt;=50,VLOOKUP(B40,Lista_Precios!$A:$L,8,FALSE),IF(D40&gt;=30,VLOOKUP(B40,Lista_Precios!$A:$L,7,FALSE),IF(D40&gt;=10,VLOOKUP(B40,Lista_Precios!$A:$L,6,FALSE),VLOOKUP(B40,Lista_Precios!$A:$L,5,FALSE))))))</f>
        <v>3490</v>
      </c>
      <c r="F40" s="22">
        <f t="shared" si="1"/>
        <v>17450</v>
      </c>
      <c r="G40" s="22">
        <f>VLOOKUP(B40,Productos!$A:$P,9,FALSE)</f>
        <v>2500</v>
      </c>
      <c r="H40" s="22">
        <f t="shared" si="2"/>
        <v>4950</v>
      </c>
      <c r="I40" s="19" t="str">
        <f t="shared" si="3"/>
        <v>1-9</v>
      </c>
      <c r="J40" s="23">
        <f>IF(D40&gt;=300,Escalas_Volumen!$D$8,IF(D40&gt;=100,Escalas_Volumen!$D$7,IF(D40&gt;=50,Escalas_Volumen!$D$6,IF(D40&gt;=30,Escalas_Volumen!$D$5,IF(D40&gt;=10,Escalas_Volumen!$D$4,Escalas_Volumen!$D$3)))))</f>
        <v>0</v>
      </c>
    </row>
    <row r="41" ht="15.75" customHeight="1">
      <c r="A41" s="19" t="s">
        <v>323</v>
      </c>
      <c r="B41" s="19" t="s">
        <v>250</v>
      </c>
      <c r="C41" s="19" t="s">
        <v>252</v>
      </c>
      <c r="D41" s="19">
        <v>3.0</v>
      </c>
      <c r="E41" s="22">
        <f>IF(D41&gt;=300,VLOOKUP(B41,Lista_Precios!$A:$L,10,FALSE),IF(D41&gt;=100,VLOOKUP(B41,Lista_Precios!$A:$L,9,FALSE),IF(D41&gt;=50,VLOOKUP(B41,Lista_Precios!$A:$L,8,FALSE),IF(D41&gt;=30,VLOOKUP(B41,Lista_Precios!$A:$L,7,FALSE),IF(D41&gt;=10,VLOOKUP(B41,Lista_Precios!$A:$L,6,FALSE),VLOOKUP(B41,Lista_Precios!$A:$L,5,FALSE))))))</f>
        <v>3500</v>
      </c>
      <c r="F41" s="22">
        <f t="shared" si="1"/>
        <v>10500</v>
      </c>
      <c r="G41" s="22">
        <f>VLOOKUP(B41,Productos!$A:$P,9,FALSE)</f>
        <v>2500</v>
      </c>
      <c r="H41" s="22">
        <f t="shared" si="2"/>
        <v>3000</v>
      </c>
      <c r="I41" s="19" t="str">
        <f t="shared" si="3"/>
        <v>1-9</v>
      </c>
      <c r="J41" s="23">
        <f>IF(D41&gt;=300,Escalas_Volumen!$D$8,IF(D41&gt;=100,Escalas_Volumen!$D$7,IF(D41&gt;=50,Escalas_Volumen!$D$6,IF(D41&gt;=30,Escalas_Volumen!$D$5,IF(D41&gt;=10,Escalas_Volumen!$D$4,Escalas_Volumen!$D$3)))))</f>
        <v>0</v>
      </c>
    </row>
    <row r="42" ht="15.75" customHeight="1">
      <c r="A42" s="19" t="s">
        <v>323</v>
      </c>
      <c r="B42" s="19" t="s">
        <v>263</v>
      </c>
      <c r="C42" s="19" t="s">
        <v>266</v>
      </c>
      <c r="D42" s="19">
        <v>5.0</v>
      </c>
      <c r="E42" s="22">
        <f>IF(D42&gt;=300,VLOOKUP(B42,Lista_Precios!$A:$L,10,FALSE),IF(D42&gt;=100,VLOOKUP(B42,Lista_Precios!$A:$L,9,FALSE),IF(D42&gt;=50,VLOOKUP(B42,Lista_Precios!$A:$L,8,FALSE),IF(D42&gt;=30,VLOOKUP(B42,Lista_Precios!$A:$L,7,FALSE),IF(D42&gt;=10,VLOOKUP(B42,Lista_Precios!$A:$L,6,FALSE),VLOOKUP(B42,Lista_Precios!$A:$L,5,FALSE))))))</f>
        <v>6000</v>
      </c>
      <c r="F42" s="22">
        <f t="shared" si="1"/>
        <v>30000</v>
      </c>
      <c r="G42" s="22">
        <f>VLOOKUP(B42,Productos!$A:$P,9,FALSE)</f>
        <v>4500</v>
      </c>
      <c r="H42" s="22">
        <f t="shared" si="2"/>
        <v>7500</v>
      </c>
      <c r="I42" s="19" t="str">
        <f t="shared" si="3"/>
        <v>1-9</v>
      </c>
      <c r="J42" s="23">
        <f>IF(D42&gt;=300,Escalas_Volumen!$D$8,IF(D42&gt;=100,Escalas_Volumen!$D$7,IF(D42&gt;=50,Escalas_Volumen!$D$6,IF(D42&gt;=30,Escalas_Volumen!$D$5,IF(D42&gt;=10,Escalas_Volumen!$D$4,Escalas_Volumen!$D$3)))))</f>
        <v>0</v>
      </c>
    </row>
    <row r="43" ht="15.75" customHeight="1">
      <c r="A43" s="19" t="s">
        <v>324</v>
      </c>
      <c r="B43" s="19" t="s">
        <v>216</v>
      </c>
      <c r="C43" s="19" t="s">
        <v>23</v>
      </c>
      <c r="D43" s="19">
        <v>5.0</v>
      </c>
      <c r="E43" s="22">
        <f>IF(D43&gt;=300,VLOOKUP(B43,Lista_Precios!$A:$L,10,FALSE),IF(D43&gt;=100,VLOOKUP(B43,Lista_Precios!$A:$L,9,FALSE),IF(D43&gt;=50,VLOOKUP(B43,Lista_Precios!$A:$L,8,FALSE),IF(D43&gt;=30,VLOOKUP(B43,Lista_Precios!$A:$L,7,FALSE),IF(D43&gt;=10,VLOOKUP(B43,Lista_Precios!$A:$L,6,FALSE),VLOOKUP(B43,Lista_Precios!$A:$L,5,FALSE))))))</f>
        <v>1990</v>
      </c>
      <c r="F43" s="22">
        <f t="shared" si="1"/>
        <v>9950</v>
      </c>
      <c r="G43" s="22">
        <f>VLOOKUP(B43,Productos!$A:$P,9,FALSE)</f>
        <v>1530</v>
      </c>
      <c r="H43" s="22">
        <f t="shared" si="2"/>
        <v>2300</v>
      </c>
      <c r="I43" s="19" t="str">
        <f t="shared" si="3"/>
        <v>1-9</v>
      </c>
      <c r="J43" s="23">
        <f>IF(D43&gt;=300,Escalas_Volumen!$D$8,IF(D43&gt;=100,Escalas_Volumen!$D$7,IF(D43&gt;=50,Escalas_Volumen!$D$6,IF(D43&gt;=30,Escalas_Volumen!$D$5,IF(D43&gt;=10,Escalas_Volumen!$D$4,Escalas_Volumen!$D$3)))))</f>
        <v>0</v>
      </c>
    </row>
    <row r="44" ht="15.75" customHeight="1">
      <c r="A44" s="19" t="s">
        <v>324</v>
      </c>
      <c r="B44" s="19" t="s">
        <v>224</v>
      </c>
      <c r="C44" s="19" t="s">
        <v>27</v>
      </c>
      <c r="D44" s="19">
        <v>15.0</v>
      </c>
      <c r="E44" s="22">
        <f>IF(D44&gt;=300,VLOOKUP(B44,Lista_Precios!$A:$L,10,FALSE),IF(D44&gt;=100,VLOOKUP(B44,Lista_Precios!$A:$L,9,FALSE),IF(D44&gt;=50,VLOOKUP(B44,Lista_Precios!$A:$L,8,FALSE),IF(D44&gt;=30,VLOOKUP(B44,Lista_Precios!$A:$L,7,FALSE),IF(D44&gt;=10,VLOOKUP(B44,Lista_Precios!$A:$L,6,FALSE),VLOOKUP(B44,Lista_Precios!$A:$L,5,FALSE))))))</f>
        <v>750.5</v>
      </c>
      <c r="F44" s="22">
        <f t="shared" si="1"/>
        <v>11257.5</v>
      </c>
      <c r="G44" s="22">
        <f>VLOOKUP(B44,Productos!$A:$P,9,FALSE)</f>
        <v>420</v>
      </c>
      <c r="H44" s="22">
        <f t="shared" si="2"/>
        <v>4957.5</v>
      </c>
      <c r="I44" s="19" t="str">
        <f t="shared" si="3"/>
        <v>10-29</v>
      </c>
      <c r="J44" s="23">
        <f>IF(D44&gt;=300,Escalas_Volumen!$D$8,IF(D44&gt;=100,Escalas_Volumen!$D$7,IF(D44&gt;=50,Escalas_Volumen!$D$6,IF(D44&gt;=30,Escalas_Volumen!$D$5,IF(D44&gt;=10,Escalas_Volumen!$D$4,Escalas_Volumen!$D$3)))))</f>
        <v>0.05</v>
      </c>
    </row>
    <row r="45" ht="15.75" customHeight="1">
      <c r="A45" s="19" t="s">
        <v>324</v>
      </c>
      <c r="B45" s="19" t="s">
        <v>259</v>
      </c>
      <c r="C45" s="19" t="s">
        <v>262</v>
      </c>
      <c r="D45" s="19">
        <v>30.0</v>
      </c>
      <c r="E45" s="22">
        <f>IF(D45&gt;=300,VLOOKUP(B45,Lista_Precios!$A:$L,10,FALSE),IF(D45&gt;=100,VLOOKUP(B45,Lista_Precios!$A:$L,9,FALSE),IF(D45&gt;=50,VLOOKUP(B45,Lista_Precios!$A:$L,8,FALSE),IF(D45&gt;=30,VLOOKUP(B45,Lista_Precios!$A:$L,7,FALSE),IF(D45&gt;=10,VLOOKUP(B45,Lista_Precios!$A:$L,6,FALSE),VLOOKUP(B45,Lista_Precios!$A:$L,5,FALSE))))))</f>
        <v>1370.8</v>
      </c>
      <c r="F45" s="22">
        <f t="shared" si="1"/>
        <v>41124</v>
      </c>
      <c r="G45" s="22">
        <f>VLOOKUP(B45,Productos!$A:$P,9,FALSE)</f>
        <v>950</v>
      </c>
      <c r="H45" s="22">
        <f t="shared" si="2"/>
        <v>12624</v>
      </c>
      <c r="I45" s="19" t="str">
        <f t="shared" si="3"/>
        <v>30-49</v>
      </c>
      <c r="J45" s="23">
        <f>IF(D45&gt;=300,Escalas_Volumen!$D$8,IF(D45&gt;=100,Escalas_Volumen!$D$7,IF(D45&gt;=50,Escalas_Volumen!$D$6,IF(D45&gt;=30,Escalas_Volumen!$D$5,IF(D45&gt;=10,Escalas_Volumen!$D$4,Escalas_Volumen!$D$3)))))</f>
        <v>0.08</v>
      </c>
    </row>
    <row r="46" ht="15.75" customHeight="1">
      <c r="A46" s="19" t="s">
        <v>324</v>
      </c>
      <c r="B46" s="19" t="s">
        <v>207</v>
      </c>
      <c r="C46" s="19" t="s">
        <v>19</v>
      </c>
      <c r="D46" s="19">
        <v>12.0</v>
      </c>
      <c r="E46" s="22">
        <f>IF(D46&gt;=300,VLOOKUP(B46,Lista_Precios!$A:$L,10,FALSE),IF(D46&gt;=100,VLOOKUP(B46,Lista_Precios!$A:$L,9,FALSE),IF(D46&gt;=50,VLOOKUP(B46,Lista_Precios!$A:$L,8,FALSE),IF(D46&gt;=30,VLOOKUP(B46,Lista_Precios!$A:$L,7,FALSE),IF(D46&gt;=10,VLOOKUP(B46,Lista_Precios!$A:$L,6,FALSE),VLOOKUP(B46,Lista_Precios!$A:$L,5,FALSE))))))</f>
        <v>2365.5</v>
      </c>
      <c r="F46" s="22">
        <f t="shared" si="1"/>
        <v>28386</v>
      </c>
      <c r="G46" s="22">
        <f>VLOOKUP(B46,Productos!$A:$P,9,FALSE)</f>
        <v>1970</v>
      </c>
      <c r="H46" s="22">
        <f t="shared" si="2"/>
        <v>4746</v>
      </c>
      <c r="I46" s="19" t="str">
        <f t="shared" si="3"/>
        <v>10-29</v>
      </c>
      <c r="J46" s="23">
        <f>IF(D46&gt;=300,Escalas_Volumen!$D$8,IF(D46&gt;=100,Escalas_Volumen!$D$7,IF(D46&gt;=50,Escalas_Volumen!$D$6,IF(D46&gt;=30,Escalas_Volumen!$D$5,IF(D46&gt;=10,Escalas_Volumen!$D$4,Escalas_Volumen!$D$3)))))</f>
        <v>0.05</v>
      </c>
    </row>
    <row r="47" ht="15.75" customHeight="1">
      <c r="A47" s="19" t="s">
        <v>325</v>
      </c>
      <c r="B47" s="19" t="s">
        <v>263</v>
      </c>
      <c r="C47" s="19" t="s">
        <v>266</v>
      </c>
      <c r="D47" s="19">
        <v>30.0</v>
      </c>
      <c r="E47" s="22">
        <f>IF(D47&gt;=300,VLOOKUP(B47,Lista_Precios!$A:$L,10,FALSE),IF(D47&gt;=100,VLOOKUP(B47,Lista_Precios!$A:$L,9,FALSE),IF(D47&gt;=50,VLOOKUP(B47,Lista_Precios!$A:$L,8,FALSE),IF(D47&gt;=30,VLOOKUP(B47,Lista_Precios!$A:$L,7,FALSE),IF(D47&gt;=10,VLOOKUP(B47,Lista_Precios!$A:$L,6,FALSE),VLOOKUP(B47,Lista_Precios!$A:$L,5,FALSE))))))</f>
        <v>5520</v>
      </c>
      <c r="F47" s="22">
        <f t="shared" si="1"/>
        <v>165600</v>
      </c>
      <c r="G47" s="22">
        <f>VLOOKUP(B47,Productos!$A:$P,9,FALSE)</f>
        <v>4500</v>
      </c>
      <c r="H47" s="22">
        <f t="shared" si="2"/>
        <v>30600</v>
      </c>
      <c r="I47" s="19" t="str">
        <f t="shared" si="3"/>
        <v>30-49</v>
      </c>
      <c r="J47" s="23">
        <f>IF(D47&gt;=300,Escalas_Volumen!$D$8,IF(D47&gt;=100,Escalas_Volumen!$D$7,IF(D47&gt;=50,Escalas_Volumen!$D$6,IF(D47&gt;=30,Escalas_Volumen!$D$5,IF(D47&gt;=10,Escalas_Volumen!$D$4,Escalas_Volumen!$D$3)))))</f>
        <v>0.08</v>
      </c>
    </row>
    <row r="48" ht="15.75" customHeight="1">
      <c r="A48" s="19" t="s">
        <v>325</v>
      </c>
      <c r="B48" s="19" t="s">
        <v>259</v>
      </c>
      <c r="C48" s="19" t="s">
        <v>262</v>
      </c>
      <c r="D48" s="19">
        <v>15.0</v>
      </c>
      <c r="E48" s="22">
        <f>IF(D48&gt;=300,VLOOKUP(B48,Lista_Precios!$A:$L,10,FALSE),IF(D48&gt;=100,VLOOKUP(B48,Lista_Precios!$A:$L,9,FALSE),IF(D48&gt;=50,VLOOKUP(B48,Lista_Precios!$A:$L,8,FALSE),IF(D48&gt;=30,VLOOKUP(B48,Lista_Precios!$A:$L,7,FALSE),IF(D48&gt;=10,VLOOKUP(B48,Lista_Precios!$A:$L,6,FALSE),VLOOKUP(B48,Lista_Precios!$A:$L,5,FALSE))))))</f>
        <v>1415.5</v>
      </c>
      <c r="F48" s="22">
        <f t="shared" si="1"/>
        <v>21232.5</v>
      </c>
      <c r="G48" s="22">
        <f>VLOOKUP(B48,Productos!$A:$P,9,FALSE)</f>
        <v>950</v>
      </c>
      <c r="H48" s="22">
        <f t="shared" si="2"/>
        <v>6982.5</v>
      </c>
      <c r="I48" s="19" t="str">
        <f t="shared" si="3"/>
        <v>10-29</v>
      </c>
      <c r="J48" s="23">
        <f>IF(D48&gt;=300,Escalas_Volumen!$D$8,IF(D48&gt;=100,Escalas_Volumen!$D$7,IF(D48&gt;=50,Escalas_Volumen!$D$6,IF(D48&gt;=30,Escalas_Volumen!$D$5,IF(D48&gt;=10,Escalas_Volumen!$D$4,Escalas_Volumen!$D$3)))))</f>
        <v>0.05</v>
      </c>
    </row>
    <row r="49" ht="15.75" customHeight="1">
      <c r="A49" s="19" t="s">
        <v>325</v>
      </c>
      <c r="B49" s="19" t="s">
        <v>250</v>
      </c>
      <c r="C49" s="19" t="s">
        <v>252</v>
      </c>
      <c r="D49" s="19">
        <v>15.0</v>
      </c>
      <c r="E49" s="22">
        <f>IF(D49&gt;=300,VLOOKUP(B49,Lista_Precios!$A:$L,10,FALSE),IF(D49&gt;=100,VLOOKUP(B49,Lista_Precios!$A:$L,9,FALSE),IF(D49&gt;=50,VLOOKUP(B49,Lista_Precios!$A:$L,8,FALSE),IF(D49&gt;=30,VLOOKUP(B49,Lista_Precios!$A:$L,7,FALSE),IF(D49&gt;=10,VLOOKUP(B49,Lista_Precios!$A:$L,6,FALSE),VLOOKUP(B49,Lista_Precios!$A:$L,5,FALSE))))))</f>
        <v>3325</v>
      </c>
      <c r="F49" s="22">
        <f t="shared" si="1"/>
        <v>49875</v>
      </c>
      <c r="G49" s="22">
        <f>VLOOKUP(B49,Productos!$A:$P,9,FALSE)</f>
        <v>2500</v>
      </c>
      <c r="H49" s="22">
        <f t="shared" si="2"/>
        <v>12375</v>
      </c>
      <c r="I49" s="19" t="str">
        <f t="shared" si="3"/>
        <v>10-29</v>
      </c>
      <c r="J49" s="23">
        <f>IF(D49&gt;=300,Escalas_Volumen!$D$8,IF(D49&gt;=100,Escalas_Volumen!$D$7,IF(D49&gt;=50,Escalas_Volumen!$D$6,IF(D49&gt;=30,Escalas_Volumen!$D$5,IF(D49&gt;=10,Escalas_Volumen!$D$4,Escalas_Volumen!$D$3)))))</f>
        <v>0.05</v>
      </c>
    </row>
    <row r="50" ht="15.75" customHeight="1">
      <c r="A50" s="19" t="s">
        <v>326</v>
      </c>
      <c r="B50" s="19" t="s">
        <v>219</v>
      </c>
      <c r="C50" s="19" t="s">
        <v>25</v>
      </c>
      <c r="D50" s="19">
        <v>6.0</v>
      </c>
      <c r="E50" s="22">
        <f>IF(D50&gt;=300,VLOOKUP(B50,Lista_Precios!$A:$L,10,FALSE),IF(D50&gt;=100,VLOOKUP(B50,Lista_Precios!$A:$L,9,FALSE),IF(D50&gt;=50,VLOOKUP(B50,Lista_Precios!$A:$L,8,FALSE),IF(D50&gt;=30,VLOOKUP(B50,Lista_Precios!$A:$L,7,FALSE),IF(D50&gt;=10,VLOOKUP(B50,Lista_Precios!$A:$L,6,FALSE),VLOOKUP(B50,Lista_Precios!$A:$L,5,FALSE))))))</f>
        <v>1290</v>
      </c>
      <c r="F50" s="22">
        <f t="shared" si="1"/>
        <v>7740</v>
      </c>
      <c r="G50" s="22">
        <f>VLOOKUP(B50,Productos!$A:$P,9,FALSE)</f>
        <v>820</v>
      </c>
      <c r="H50" s="22">
        <f t="shared" si="2"/>
        <v>2820</v>
      </c>
      <c r="I50" s="19" t="str">
        <f t="shared" si="3"/>
        <v>1-9</v>
      </c>
      <c r="J50" s="23">
        <f>IF(D50&gt;=300,Escalas_Volumen!$D$8,IF(D50&gt;=100,Escalas_Volumen!$D$7,IF(D50&gt;=50,Escalas_Volumen!$D$6,IF(D50&gt;=30,Escalas_Volumen!$D$5,IF(D50&gt;=10,Escalas_Volumen!$D$4,Escalas_Volumen!$D$3)))))</f>
        <v>0</v>
      </c>
    </row>
    <row r="51" ht="15.75" customHeight="1">
      <c r="A51" s="19" t="s">
        <v>326</v>
      </c>
      <c r="B51" s="19" t="s">
        <v>213</v>
      </c>
      <c r="C51" s="19" t="s">
        <v>21</v>
      </c>
      <c r="D51" s="19">
        <v>20.0</v>
      </c>
      <c r="E51" s="22">
        <f>IF(D51&gt;=300,VLOOKUP(B51,Lista_Precios!$A:$L,10,FALSE),IF(D51&gt;=100,VLOOKUP(B51,Lista_Precios!$A:$L,9,FALSE),IF(D51&gt;=50,VLOOKUP(B51,Lista_Precios!$A:$L,8,FALSE),IF(D51&gt;=30,VLOOKUP(B51,Lista_Precios!$A:$L,7,FALSE),IF(D51&gt;=10,VLOOKUP(B51,Lista_Precios!$A:$L,6,FALSE),VLOOKUP(B51,Lista_Precios!$A:$L,5,FALSE))))))</f>
        <v>6640.5</v>
      </c>
      <c r="F51" s="22">
        <f t="shared" si="1"/>
        <v>132810</v>
      </c>
      <c r="G51" s="22">
        <f>VLOOKUP(B51,Productos!$A:$P,9,FALSE)</f>
        <v>5600</v>
      </c>
      <c r="H51" s="22">
        <f t="shared" si="2"/>
        <v>20810</v>
      </c>
      <c r="I51" s="19" t="str">
        <f t="shared" si="3"/>
        <v>10-29</v>
      </c>
      <c r="J51" s="23">
        <f>IF(D51&gt;=300,Escalas_Volumen!$D$8,IF(D51&gt;=100,Escalas_Volumen!$D$7,IF(D51&gt;=50,Escalas_Volumen!$D$6,IF(D51&gt;=30,Escalas_Volumen!$D$5,IF(D51&gt;=10,Escalas_Volumen!$D$4,Escalas_Volumen!$D$3)))))</f>
        <v>0.05</v>
      </c>
    </row>
    <row r="52" ht="15.75" customHeight="1">
      <c r="A52" s="19" t="s">
        <v>327</v>
      </c>
      <c r="B52" s="19" t="s">
        <v>207</v>
      </c>
      <c r="C52" s="19" t="s">
        <v>19</v>
      </c>
      <c r="D52" s="19">
        <v>5.0</v>
      </c>
      <c r="E52" s="22">
        <f>IF(D52&gt;=300,VLOOKUP(B52,Lista_Precios!$A:$L,10,FALSE),IF(D52&gt;=100,VLOOKUP(B52,Lista_Precios!$A:$L,9,FALSE),IF(D52&gt;=50,VLOOKUP(B52,Lista_Precios!$A:$L,8,FALSE),IF(D52&gt;=30,VLOOKUP(B52,Lista_Precios!$A:$L,7,FALSE),IF(D52&gt;=10,VLOOKUP(B52,Lista_Precios!$A:$L,6,FALSE),VLOOKUP(B52,Lista_Precios!$A:$L,5,FALSE))))))</f>
        <v>2490</v>
      </c>
      <c r="F52" s="22">
        <f t="shared" si="1"/>
        <v>12450</v>
      </c>
      <c r="G52" s="22">
        <f>VLOOKUP(B52,Productos!$A:$P,9,FALSE)</f>
        <v>1970</v>
      </c>
      <c r="H52" s="22">
        <f t="shared" si="2"/>
        <v>2600</v>
      </c>
      <c r="I52" s="19" t="str">
        <f t="shared" si="3"/>
        <v>1-9</v>
      </c>
      <c r="J52" s="23">
        <f>IF(D52&gt;=300,Escalas_Volumen!$D$8,IF(D52&gt;=100,Escalas_Volumen!$D$7,IF(D52&gt;=50,Escalas_Volumen!$D$6,IF(D52&gt;=30,Escalas_Volumen!$D$5,IF(D52&gt;=10,Escalas_Volumen!$D$4,Escalas_Volumen!$D$3)))))</f>
        <v>0</v>
      </c>
    </row>
    <row r="53" ht="15.75" customHeight="1">
      <c r="A53" s="19" t="s">
        <v>327</v>
      </c>
      <c r="B53" s="19" t="s">
        <v>243</v>
      </c>
      <c r="C53" s="19" t="s">
        <v>246</v>
      </c>
      <c r="D53" s="19">
        <v>30.0</v>
      </c>
      <c r="E53" s="22">
        <f>IF(D53&gt;=300,VLOOKUP(B53,Lista_Precios!$A:$L,10,FALSE),IF(D53&gt;=100,VLOOKUP(B53,Lista_Precios!$A:$L,9,FALSE),IF(D53&gt;=50,VLOOKUP(B53,Lista_Precios!$A:$L,8,FALSE),IF(D53&gt;=30,VLOOKUP(B53,Lista_Precios!$A:$L,7,FALSE),IF(D53&gt;=10,VLOOKUP(B53,Lista_Precios!$A:$L,6,FALSE),VLOOKUP(B53,Lista_Precios!$A:$L,5,FALSE))))))</f>
        <v>1462.8</v>
      </c>
      <c r="F53" s="22">
        <f t="shared" si="1"/>
        <v>43884</v>
      </c>
      <c r="G53" s="22">
        <f>VLOOKUP(B53,Productos!$A:$P,9,FALSE)</f>
        <v>1130</v>
      </c>
      <c r="H53" s="22">
        <f t="shared" si="2"/>
        <v>9984</v>
      </c>
      <c r="I53" s="19" t="str">
        <f t="shared" si="3"/>
        <v>30-49</v>
      </c>
      <c r="J53" s="23">
        <f>IF(D53&gt;=300,Escalas_Volumen!$D$8,IF(D53&gt;=100,Escalas_Volumen!$D$7,IF(D53&gt;=50,Escalas_Volumen!$D$6,IF(D53&gt;=30,Escalas_Volumen!$D$5,IF(D53&gt;=10,Escalas_Volumen!$D$4,Escalas_Volumen!$D$3)))))</f>
        <v>0.08</v>
      </c>
    </row>
    <row r="54" ht="15.75" customHeight="1">
      <c r="A54" s="19" t="s">
        <v>328</v>
      </c>
      <c r="B54" s="19" t="s">
        <v>229</v>
      </c>
      <c r="C54" s="19" t="s">
        <v>31</v>
      </c>
      <c r="D54" s="19">
        <v>12.0</v>
      </c>
      <c r="E54" s="22">
        <f>IF(D54&gt;=300,VLOOKUP(B54,Lista_Precios!$A:$L,10,FALSE),IF(D54&gt;=100,VLOOKUP(B54,Lista_Precios!$A:$L,9,FALSE),IF(D54&gt;=50,VLOOKUP(B54,Lista_Precios!$A:$L,8,FALSE),IF(D54&gt;=30,VLOOKUP(B54,Lista_Precios!$A:$L,7,FALSE),IF(D54&gt;=10,VLOOKUP(B54,Lista_Precios!$A:$L,6,FALSE),VLOOKUP(B54,Lista_Precios!$A:$L,5,FALSE))))))</f>
        <v>7125</v>
      </c>
      <c r="F54" s="22">
        <f t="shared" si="1"/>
        <v>85500</v>
      </c>
      <c r="G54" s="22">
        <f>VLOOKUP(B54,Productos!$A:$P,9,FALSE)</f>
        <v>6300</v>
      </c>
      <c r="H54" s="22">
        <f t="shared" si="2"/>
        <v>9900</v>
      </c>
      <c r="I54" s="19" t="str">
        <f t="shared" si="3"/>
        <v>10-29</v>
      </c>
      <c r="J54" s="23">
        <f>IF(D54&gt;=300,Escalas_Volumen!$D$8,IF(D54&gt;=100,Escalas_Volumen!$D$7,IF(D54&gt;=50,Escalas_Volumen!$D$6,IF(D54&gt;=30,Escalas_Volumen!$D$5,IF(D54&gt;=10,Escalas_Volumen!$D$4,Escalas_Volumen!$D$3)))))</f>
        <v>0.05</v>
      </c>
    </row>
    <row r="55" ht="15.75" customHeight="1">
      <c r="A55" s="19" t="s">
        <v>328</v>
      </c>
      <c r="B55" s="19" t="s">
        <v>216</v>
      </c>
      <c r="C55" s="19" t="s">
        <v>23</v>
      </c>
      <c r="D55" s="19">
        <v>50.0</v>
      </c>
      <c r="E55" s="22">
        <f>IF(D55&gt;=300,VLOOKUP(B55,Lista_Precios!$A:$L,10,FALSE),IF(D55&gt;=100,VLOOKUP(B55,Lista_Precios!$A:$L,9,FALSE),IF(D55&gt;=50,VLOOKUP(B55,Lista_Precios!$A:$L,8,FALSE),IF(D55&gt;=30,VLOOKUP(B55,Lista_Precios!$A:$L,7,FALSE),IF(D55&gt;=10,VLOOKUP(B55,Lista_Precios!$A:$L,6,FALSE),VLOOKUP(B55,Lista_Precios!$A:$L,5,FALSE))))))</f>
        <v>1751.2</v>
      </c>
      <c r="F55" s="22">
        <f t="shared" si="1"/>
        <v>87560</v>
      </c>
      <c r="G55" s="22">
        <f>VLOOKUP(B55,Productos!$A:$P,9,FALSE)</f>
        <v>1530</v>
      </c>
      <c r="H55" s="22">
        <f t="shared" si="2"/>
        <v>11060</v>
      </c>
      <c r="I55" s="19" t="str">
        <f t="shared" si="3"/>
        <v>50-99</v>
      </c>
      <c r="J55" s="23">
        <f>IF(D55&gt;=300,Escalas_Volumen!$D$8,IF(D55&gt;=100,Escalas_Volumen!$D$7,IF(D55&gt;=50,Escalas_Volumen!$D$6,IF(D55&gt;=30,Escalas_Volumen!$D$5,IF(D55&gt;=10,Escalas_Volumen!$D$4,Escalas_Volumen!$D$3)))))</f>
        <v>0.12</v>
      </c>
    </row>
    <row r="56" ht="15.75" customHeight="1">
      <c r="A56" s="19" t="s">
        <v>328</v>
      </c>
      <c r="B56" s="19" t="s">
        <v>250</v>
      </c>
      <c r="C56" s="19" t="s">
        <v>252</v>
      </c>
      <c r="D56" s="19">
        <v>12.0</v>
      </c>
      <c r="E56" s="22">
        <f>IF(D56&gt;=300,VLOOKUP(B56,Lista_Precios!$A:$L,10,FALSE),IF(D56&gt;=100,VLOOKUP(B56,Lista_Precios!$A:$L,9,FALSE),IF(D56&gt;=50,VLOOKUP(B56,Lista_Precios!$A:$L,8,FALSE),IF(D56&gt;=30,VLOOKUP(B56,Lista_Precios!$A:$L,7,FALSE),IF(D56&gt;=10,VLOOKUP(B56,Lista_Precios!$A:$L,6,FALSE),VLOOKUP(B56,Lista_Precios!$A:$L,5,FALSE))))))</f>
        <v>3325</v>
      </c>
      <c r="F56" s="22">
        <f t="shared" si="1"/>
        <v>39900</v>
      </c>
      <c r="G56" s="22">
        <f>VLOOKUP(B56,Productos!$A:$P,9,FALSE)</f>
        <v>2500</v>
      </c>
      <c r="H56" s="22">
        <f t="shared" si="2"/>
        <v>9900</v>
      </c>
      <c r="I56" s="19" t="str">
        <f t="shared" si="3"/>
        <v>10-29</v>
      </c>
      <c r="J56" s="23">
        <f>IF(D56&gt;=300,Escalas_Volumen!$D$8,IF(D56&gt;=100,Escalas_Volumen!$D$7,IF(D56&gt;=50,Escalas_Volumen!$D$6,IF(D56&gt;=30,Escalas_Volumen!$D$5,IF(D56&gt;=10,Escalas_Volumen!$D$4,Escalas_Volumen!$D$3)))))</f>
        <v>0.05</v>
      </c>
    </row>
    <row r="57" ht="15.75" customHeight="1">
      <c r="A57" s="19" t="s">
        <v>328</v>
      </c>
      <c r="B57" s="19" t="s">
        <v>224</v>
      </c>
      <c r="C57" s="19" t="s">
        <v>27</v>
      </c>
      <c r="D57" s="19">
        <v>20.0</v>
      </c>
      <c r="E57" s="22">
        <f>IF(D57&gt;=300,VLOOKUP(B57,Lista_Precios!$A:$L,10,FALSE),IF(D57&gt;=100,VLOOKUP(B57,Lista_Precios!$A:$L,9,FALSE),IF(D57&gt;=50,VLOOKUP(B57,Lista_Precios!$A:$L,8,FALSE),IF(D57&gt;=30,VLOOKUP(B57,Lista_Precios!$A:$L,7,FALSE),IF(D57&gt;=10,VLOOKUP(B57,Lista_Precios!$A:$L,6,FALSE),VLOOKUP(B57,Lista_Precios!$A:$L,5,FALSE))))))</f>
        <v>750.5</v>
      </c>
      <c r="F57" s="22">
        <f t="shared" si="1"/>
        <v>15010</v>
      </c>
      <c r="G57" s="22">
        <f>VLOOKUP(B57,Productos!$A:$P,9,FALSE)</f>
        <v>420</v>
      </c>
      <c r="H57" s="22">
        <f t="shared" si="2"/>
        <v>6610</v>
      </c>
      <c r="I57" s="19" t="str">
        <f t="shared" si="3"/>
        <v>10-29</v>
      </c>
      <c r="J57" s="23">
        <f>IF(D57&gt;=300,Escalas_Volumen!$D$8,IF(D57&gt;=100,Escalas_Volumen!$D$7,IF(D57&gt;=50,Escalas_Volumen!$D$6,IF(D57&gt;=30,Escalas_Volumen!$D$5,IF(D57&gt;=10,Escalas_Volumen!$D$4,Escalas_Volumen!$D$3)))))</f>
        <v>0.05</v>
      </c>
    </row>
    <row r="58" ht="15.75" customHeight="1">
      <c r="A58" s="19" t="s">
        <v>329</v>
      </c>
      <c r="B58" s="19" t="s">
        <v>224</v>
      </c>
      <c r="C58" s="19" t="s">
        <v>27</v>
      </c>
      <c r="D58" s="19">
        <v>3.0</v>
      </c>
      <c r="E58" s="22">
        <f>IF(D58&gt;=300,VLOOKUP(B58,Lista_Precios!$A:$L,10,FALSE),IF(D58&gt;=100,VLOOKUP(B58,Lista_Precios!$A:$L,9,FALSE),IF(D58&gt;=50,VLOOKUP(B58,Lista_Precios!$A:$L,8,FALSE),IF(D58&gt;=30,VLOOKUP(B58,Lista_Precios!$A:$L,7,FALSE),IF(D58&gt;=10,VLOOKUP(B58,Lista_Precios!$A:$L,6,FALSE),VLOOKUP(B58,Lista_Precios!$A:$L,5,FALSE))))))</f>
        <v>790</v>
      </c>
      <c r="F58" s="22">
        <f t="shared" si="1"/>
        <v>2370</v>
      </c>
      <c r="G58" s="22">
        <f>VLOOKUP(B58,Productos!$A:$P,9,FALSE)</f>
        <v>420</v>
      </c>
      <c r="H58" s="22">
        <f t="shared" si="2"/>
        <v>1110</v>
      </c>
      <c r="I58" s="19" t="str">
        <f t="shared" si="3"/>
        <v>1-9</v>
      </c>
      <c r="J58" s="23">
        <f>IF(D58&gt;=300,Escalas_Volumen!$D$8,IF(D58&gt;=100,Escalas_Volumen!$D$7,IF(D58&gt;=50,Escalas_Volumen!$D$6,IF(D58&gt;=30,Escalas_Volumen!$D$5,IF(D58&gt;=10,Escalas_Volumen!$D$4,Escalas_Volumen!$D$3)))))</f>
        <v>0</v>
      </c>
    </row>
    <row r="59" ht="15.75" customHeight="1">
      <c r="A59" s="19" t="s">
        <v>329</v>
      </c>
      <c r="B59" s="19" t="s">
        <v>213</v>
      </c>
      <c r="C59" s="19" t="s">
        <v>21</v>
      </c>
      <c r="D59" s="19">
        <v>12.0</v>
      </c>
      <c r="E59" s="22">
        <f>IF(D59&gt;=300,VLOOKUP(B59,Lista_Precios!$A:$L,10,FALSE),IF(D59&gt;=100,VLOOKUP(B59,Lista_Precios!$A:$L,9,FALSE),IF(D59&gt;=50,VLOOKUP(B59,Lista_Precios!$A:$L,8,FALSE),IF(D59&gt;=30,VLOOKUP(B59,Lista_Precios!$A:$L,7,FALSE),IF(D59&gt;=10,VLOOKUP(B59,Lista_Precios!$A:$L,6,FALSE),VLOOKUP(B59,Lista_Precios!$A:$L,5,FALSE))))))</f>
        <v>6640.5</v>
      </c>
      <c r="F59" s="22">
        <f t="shared" si="1"/>
        <v>79686</v>
      </c>
      <c r="G59" s="22">
        <f>VLOOKUP(B59,Productos!$A:$P,9,FALSE)</f>
        <v>5600</v>
      </c>
      <c r="H59" s="22">
        <f t="shared" si="2"/>
        <v>12486</v>
      </c>
      <c r="I59" s="19" t="str">
        <f t="shared" si="3"/>
        <v>10-29</v>
      </c>
      <c r="J59" s="23">
        <f>IF(D59&gt;=300,Escalas_Volumen!$D$8,IF(D59&gt;=100,Escalas_Volumen!$D$7,IF(D59&gt;=50,Escalas_Volumen!$D$6,IF(D59&gt;=30,Escalas_Volumen!$D$5,IF(D59&gt;=10,Escalas_Volumen!$D$4,Escalas_Volumen!$D$3)))))</f>
        <v>0.05</v>
      </c>
    </row>
    <row r="60" ht="15.75" customHeight="1">
      <c r="A60" s="19" t="s">
        <v>329</v>
      </c>
      <c r="B60" s="19" t="s">
        <v>216</v>
      </c>
      <c r="C60" s="19" t="s">
        <v>23</v>
      </c>
      <c r="D60" s="19">
        <v>10.0</v>
      </c>
      <c r="E60" s="22">
        <f>IF(D60&gt;=300,VLOOKUP(B60,Lista_Precios!$A:$L,10,FALSE),IF(D60&gt;=100,VLOOKUP(B60,Lista_Precios!$A:$L,9,FALSE),IF(D60&gt;=50,VLOOKUP(B60,Lista_Precios!$A:$L,8,FALSE),IF(D60&gt;=30,VLOOKUP(B60,Lista_Precios!$A:$L,7,FALSE),IF(D60&gt;=10,VLOOKUP(B60,Lista_Precios!$A:$L,6,FALSE),VLOOKUP(B60,Lista_Precios!$A:$L,5,FALSE))))))</f>
        <v>1890.5</v>
      </c>
      <c r="F60" s="22">
        <f t="shared" si="1"/>
        <v>18905</v>
      </c>
      <c r="G60" s="22">
        <f>VLOOKUP(B60,Productos!$A:$P,9,FALSE)</f>
        <v>1530</v>
      </c>
      <c r="H60" s="22">
        <f t="shared" si="2"/>
        <v>3605</v>
      </c>
      <c r="I60" s="19" t="str">
        <f t="shared" si="3"/>
        <v>10-29</v>
      </c>
      <c r="J60" s="23">
        <f>IF(D60&gt;=300,Escalas_Volumen!$D$8,IF(D60&gt;=100,Escalas_Volumen!$D$7,IF(D60&gt;=50,Escalas_Volumen!$D$6,IF(D60&gt;=30,Escalas_Volumen!$D$5,IF(D60&gt;=10,Escalas_Volumen!$D$4,Escalas_Volumen!$D$3)))))</f>
        <v>0.05</v>
      </c>
    </row>
    <row r="61" ht="15.75" customHeight="1">
      <c r="A61" s="19" t="s">
        <v>330</v>
      </c>
      <c r="B61" s="19" t="s">
        <v>238</v>
      </c>
      <c r="C61" s="19" t="s">
        <v>240</v>
      </c>
      <c r="D61" s="19">
        <v>5.0</v>
      </c>
      <c r="E61" s="22">
        <f>IF(D61&gt;=300,VLOOKUP(B61,Lista_Precios!$A:$L,10,FALSE),IF(D61&gt;=100,VLOOKUP(B61,Lista_Precios!$A:$L,9,FALSE),IF(D61&gt;=50,VLOOKUP(B61,Lista_Precios!$A:$L,8,FALSE),IF(D61&gt;=30,VLOOKUP(B61,Lista_Precios!$A:$L,7,FALSE),IF(D61&gt;=10,VLOOKUP(B61,Lista_Precios!$A:$L,6,FALSE),VLOOKUP(B61,Lista_Precios!$A:$L,5,FALSE))))))</f>
        <v>5990</v>
      </c>
      <c r="F61" s="22">
        <f t="shared" si="1"/>
        <v>29950</v>
      </c>
      <c r="G61" s="22">
        <f>VLOOKUP(B61,Productos!$A:$P,9,FALSE)</f>
        <v>4350</v>
      </c>
      <c r="H61" s="22">
        <f t="shared" si="2"/>
        <v>8200</v>
      </c>
      <c r="I61" s="19" t="str">
        <f t="shared" si="3"/>
        <v>1-9</v>
      </c>
      <c r="J61" s="23">
        <f>IF(D61&gt;=300,Escalas_Volumen!$D$8,IF(D61&gt;=100,Escalas_Volumen!$D$7,IF(D61&gt;=50,Escalas_Volumen!$D$6,IF(D61&gt;=30,Escalas_Volumen!$D$5,IF(D61&gt;=10,Escalas_Volumen!$D$4,Escalas_Volumen!$D$3)))))</f>
        <v>0</v>
      </c>
    </row>
    <row r="62" ht="15.75" customHeight="1">
      <c r="A62" s="19" t="s">
        <v>330</v>
      </c>
      <c r="B62" s="19" t="s">
        <v>227</v>
      </c>
      <c r="C62" s="19" t="s">
        <v>29</v>
      </c>
      <c r="D62" s="19">
        <v>30.0</v>
      </c>
      <c r="E62" s="22">
        <f>IF(D62&gt;=300,VLOOKUP(B62,Lista_Precios!$A:$L,10,FALSE),IF(D62&gt;=100,VLOOKUP(B62,Lista_Precios!$A:$L,9,FALSE),IF(D62&gt;=50,VLOOKUP(B62,Lista_Precios!$A:$L,8,FALSE),IF(D62&gt;=30,VLOOKUP(B62,Lista_Precios!$A:$L,7,FALSE),IF(D62&gt;=10,VLOOKUP(B62,Lista_Precios!$A:$L,6,FALSE),VLOOKUP(B62,Lista_Precios!$A:$L,5,FALSE))))))</f>
        <v>3210.8</v>
      </c>
      <c r="F62" s="22">
        <f t="shared" si="1"/>
        <v>96324</v>
      </c>
      <c r="G62" s="22">
        <f>VLOOKUP(B62,Productos!$A:$P,9,FALSE)</f>
        <v>2500</v>
      </c>
      <c r="H62" s="22">
        <f t="shared" si="2"/>
        <v>21324</v>
      </c>
      <c r="I62" s="19" t="str">
        <f t="shared" si="3"/>
        <v>30-49</v>
      </c>
      <c r="J62" s="23">
        <f>IF(D62&gt;=300,Escalas_Volumen!$D$8,IF(D62&gt;=100,Escalas_Volumen!$D$7,IF(D62&gt;=50,Escalas_Volumen!$D$6,IF(D62&gt;=30,Escalas_Volumen!$D$5,IF(D62&gt;=10,Escalas_Volumen!$D$4,Escalas_Volumen!$D$3)))))</f>
        <v>0.08</v>
      </c>
    </row>
    <row r="63" ht="15.75" customHeight="1">
      <c r="A63" s="19" t="s">
        <v>331</v>
      </c>
      <c r="B63" s="19" t="s">
        <v>263</v>
      </c>
      <c r="C63" s="19" t="s">
        <v>266</v>
      </c>
      <c r="D63" s="19">
        <v>5.0</v>
      </c>
      <c r="E63" s="22">
        <f>IF(D63&gt;=300,VLOOKUP(B63,Lista_Precios!$A:$L,10,FALSE),IF(D63&gt;=100,VLOOKUP(B63,Lista_Precios!$A:$L,9,FALSE),IF(D63&gt;=50,VLOOKUP(B63,Lista_Precios!$A:$L,8,FALSE),IF(D63&gt;=30,VLOOKUP(B63,Lista_Precios!$A:$L,7,FALSE),IF(D63&gt;=10,VLOOKUP(B63,Lista_Precios!$A:$L,6,FALSE),VLOOKUP(B63,Lista_Precios!$A:$L,5,FALSE))))))</f>
        <v>6000</v>
      </c>
      <c r="F63" s="22">
        <f t="shared" si="1"/>
        <v>30000</v>
      </c>
      <c r="G63" s="22">
        <f>VLOOKUP(B63,Productos!$A:$P,9,FALSE)</f>
        <v>4500</v>
      </c>
      <c r="H63" s="22">
        <f t="shared" si="2"/>
        <v>7500</v>
      </c>
      <c r="I63" s="19" t="str">
        <f t="shared" si="3"/>
        <v>1-9</v>
      </c>
      <c r="J63" s="23">
        <f>IF(D63&gt;=300,Escalas_Volumen!$D$8,IF(D63&gt;=100,Escalas_Volumen!$D$7,IF(D63&gt;=50,Escalas_Volumen!$D$6,IF(D63&gt;=30,Escalas_Volumen!$D$5,IF(D63&gt;=10,Escalas_Volumen!$D$4,Escalas_Volumen!$D$3)))))</f>
        <v>0</v>
      </c>
    </row>
    <row r="64" ht="15.75" customHeight="1">
      <c r="A64" s="19" t="s">
        <v>331</v>
      </c>
      <c r="B64" s="19" t="s">
        <v>224</v>
      </c>
      <c r="C64" s="19" t="s">
        <v>27</v>
      </c>
      <c r="D64" s="19">
        <v>12.0</v>
      </c>
      <c r="E64" s="22">
        <f>IF(D64&gt;=300,VLOOKUP(B64,Lista_Precios!$A:$L,10,FALSE),IF(D64&gt;=100,VLOOKUP(B64,Lista_Precios!$A:$L,9,FALSE),IF(D64&gt;=50,VLOOKUP(B64,Lista_Precios!$A:$L,8,FALSE),IF(D64&gt;=30,VLOOKUP(B64,Lista_Precios!$A:$L,7,FALSE),IF(D64&gt;=10,VLOOKUP(B64,Lista_Precios!$A:$L,6,FALSE),VLOOKUP(B64,Lista_Precios!$A:$L,5,FALSE))))))</f>
        <v>750.5</v>
      </c>
      <c r="F64" s="22">
        <f t="shared" si="1"/>
        <v>9006</v>
      </c>
      <c r="G64" s="22">
        <f>VLOOKUP(B64,Productos!$A:$P,9,FALSE)</f>
        <v>420</v>
      </c>
      <c r="H64" s="22">
        <f t="shared" si="2"/>
        <v>3966</v>
      </c>
      <c r="I64" s="19" t="str">
        <f t="shared" si="3"/>
        <v>10-29</v>
      </c>
      <c r="J64" s="23">
        <f>IF(D64&gt;=300,Escalas_Volumen!$D$8,IF(D64&gt;=100,Escalas_Volumen!$D$7,IF(D64&gt;=50,Escalas_Volumen!$D$6,IF(D64&gt;=30,Escalas_Volumen!$D$5,IF(D64&gt;=10,Escalas_Volumen!$D$4,Escalas_Volumen!$D$3)))))</f>
        <v>0.05</v>
      </c>
    </row>
    <row r="65" ht="15.75" customHeight="1">
      <c r="A65" s="19" t="s">
        <v>331</v>
      </c>
      <c r="B65" s="19" t="s">
        <v>238</v>
      </c>
      <c r="C65" s="19" t="s">
        <v>240</v>
      </c>
      <c r="D65" s="19">
        <v>6.0</v>
      </c>
      <c r="E65" s="22">
        <f>IF(D65&gt;=300,VLOOKUP(B65,Lista_Precios!$A:$L,10,FALSE),IF(D65&gt;=100,VLOOKUP(B65,Lista_Precios!$A:$L,9,FALSE),IF(D65&gt;=50,VLOOKUP(B65,Lista_Precios!$A:$L,8,FALSE),IF(D65&gt;=30,VLOOKUP(B65,Lista_Precios!$A:$L,7,FALSE),IF(D65&gt;=10,VLOOKUP(B65,Lista_Precios!$A:$L,6,FALSE),VLOOKUP(B65,Lista_Precios!$A:$L,5,FALSE))))))</f>
        <v>5990</v>
      </c>
      <c r="F65" s="22">
        <f t="shared" si="1"/>
        <v>35940</v>
      </c>
      <c r="G65" s="22">
        <f>VLOOKUP(B65,Productos!$A:$P,9,FALSE)</f>
        <v>4350</v>
      </c>
      <c r="H65" s="22">
        <f t="shared" si="2"/>
        <v>9840</v>
      </c>
      <c r="I65" s="19" t="str">
        <f t="shared" si="3"/>
        <v>1-9</v>
      </c>
      <c r="J65" s="23">
        <f>IF(D65&gt;=300,Escalas_Volumen!$D$8,IF(D65&gt;=100,Escalas_Volumen!$D$7,IF(D65&gt;=50,Escalas_Volumen!$D$6,IF(D65&gt;=30,Escalas_Volumen!$D$5,IF(D65&gt;=10,Escalas_Volumen!$D$4,Escalas_Volumen!$D$3)))))</f>
        <v>0</v>
      </c>
    </row>
    <row r="66" ht="15.75" customHeight="1">
      <c r="A66" s="19" t="s">
        <v>331</v>
      </c>
      <c r="B66" s="19" t="s">
        <v>227</v>
      </c>
      <c r="C66" s="19" t="s">
        <v>29</v>
      </c>
      <c r="D66" s="19">
        <v>30.0</v>
      </c>
      <c r="E66" s="22">
        <f>IF(D66&gt;=300,VLOOKUP(B66,Lista_Precios!$A:$L,10,FALSE),IF(D66&gt;=100,VLOOKUP(B66,Lista_Precios!$A:$L,9,FALSE),IF(D66&gt;=50,VLOOKUP(B66,Lista_Precios!$A:$L,8,FALSE),IF(D66&gt;=30,VLOOKUP(B66,Lista_Precios!$A:$L,7,FALSE),IF(D66&gt;=10,VLOOKUP(B66,Lista_Precios!$A:$L,6,FALSE),VLOOKUP(B66,Lista_Precios!$A:$L,5,FALSE))))))</f>
        <v>3210.8</v>
      </c>
      <c r="F66" s="22">
        <f t="shared" si="1"/>
        <v>96324</v>
      </c>
      <c r="G66" s="22">
        <f>VLOOKUP(B66,Productos!$A:$P,9,FALSE)</f>
        <v>2500</v>
      </c>
      <c r="H66" s="22">
        <f t="shared" si="2"/>
        <v>21324</v>
      </c>
      <c r="I66" s="19" t="str">
        <f t="shared" si="3"/>
        <v>30-49</v>
      </c>
      <c r="J66" s="23">
        <f>IF(D66&gt;=300,Escalas_Volumen!$D$8,IF(D66&gt;=100,Escalas_Volumen!$D$7,IF(D66&gt;=50,Escalas_Volumen!$D$6,IF(D66&gt;=30,Escalas_Volumen!$D$5,IF(D66&gt;=10,Escalas_Volumen!$D$4,Escalas_Volumen!$D$3)))))</f>
        <v>0.08</v>
      </c>
    </row>
    <row r="67" ht="15.75" customHeight="1">
      <c r="A67" s="19" t="s">
        <v>332</v>
      </c>
      <c r="B67" s="19" t="s">
        <v>259</v>
      </c>
      <c r="C67" s="19" t="s">
        <v>262</v>
      </c>
      <c r="D67" s="19">
        <v>15.0</v>
      </c>
      <c r="E67" s="22">
        <f>IF(D67&gt;=300,VLOOKUP(B67,Lista_Precios!$A:$L,10,FALSE),IF(D67&gt;=100,VLOOKUP(B67,Lista_Precios!$A:$L,9,FALSE),IF(D67&gt;=50,VLOOKUP(B67,Lista_Precios!$A:$L,8,FALSE),IF(D67&gt;=30,VLOOKUP(B67,Lista_Precios!$A:$L,7,FALSE),IF(D67&gt;=10,VLOOKUP(B67,Lista_Precios!$A:$L,6,FALSE),VLOOKUP(B67,Lista_Precios!$A:$L,5,FALSE))))))</f>
        <v>1415.5</v>
      </c>
      <c r="F67" s="22">
        <f t="shared" si="1"/>
        <v>21232.5</v>
      </c>
      <c r="G67" s="22">
        <f>VLOOKUP(B67,Productos!$A:$P,9,FALSE)</f>
        <v>950</v>
      </c>
      <c r="H67" s="22">
        <f t="shared" si="2"/>
        <v>6982.5</v>
      </c>
      <c r="I67" s="19" t="str">
        <f t="shared" si="3"/>
        <v>10-29</v>
      </c>
      <c r="J67" s="23">
        <f>IF(D67&gt;=300,Escalas_Volumen!$D$8,IF(D67&gt;=100,Escalas_Volumen!$D$7,IF(D67&gt;=50,Escalas_Volumen!$D$6,IF(D67&gt;=30,Escalas_Volumen!$D$5,IF(D67&gt;=10,Escalas_Volumen!$D$4,Escalas_Volumen!$D$3)))))</f>
        <v>0.05</v>
      </c>
    </row>
    <row r="68" ht="15.75" customHeight="1">
      <c r="A68" s="19" t="s">
        <v>332</v>
      </c>
      <c r="B68" s="19" t="s">
        <v>263</v>
      </c>
      <c r="C68" s="19" t="s">
        <v>266</v>
      </c>
      <c r="D68" s="19">
        <v>6.0</v>
      </c>
      <c r="E68" s="22">
        <f>IF(D68&gt;=300,VLOOKUP(B68,Lista_Precios!$A:$L,10,FALSE),IF(D68&gt;=100,VLOOKUP(B68,Lista_Precios!$A:$L,9,FALSE),IF(D68&gt;=50,VLOOKUP(B68,Lista_Precios!$A:$L,8,FALSE),IF(D68&gt;=30,VLOOKUP(B68,Lista_Precios!$A:$L,7,FALSE),IF(D68&gt;=10,VLOOKUP(B68,Lista_Precios!$A:$L,6,FALSE),VLOOKUP(B68,Lista_Precios!$A:$L,5,FALSE))))))</f>
        <v>6000</v>
      </c>
      <c r="F68" s="22">
        <f t="shared" si="1"/>
        <v>36000</v>
      </c>
      <c r="G68" s="22">
        <f>VLOOKUP(B68,Productos!$A:$P,9,FALSE)</f>
        <v>4500</v>
      </c>
      <c r="H68" s="22">
        <f t="shared" si="2"/>
        <v>9000</v>
      </c>
      <c r="I68" s="19" t="str">
        <f t="shared" si="3"/>
        <v>1-9</v>
      </c>
      <c r="J68" s="23">
        <f>IF(D68&gt;=300,Escalas_Volumen!$D$8,IF(D68&gt;=100,Escalas_Volumen!$D$7,IF(D68&gt;=50,Escalas_Volumen!$D$6,IF(D68&gt;=30,Escalas_Volumen!$D$5,IF(D68&gt;=10,Escalas_Volumen!$D$4,Escalas_Volumen!$D$3)))))</f>
        <v>0</v>
      </c>
    </row>
    <row r="69" ht="15.75" customHeight="1">
      <c r="A69" s="19" t="s">
        <v>332</v>
      </c>
      <c r="B69" s="19" t="s">
        <v>219</v>
      </c>
      <c r="C69" s="19" t="s">
        <v>25</v>
      </c>
      <c r="D69" s="19">
        <v>6.0</v>
      </c>
      <c r="E69" s="22">
        <f>IF(D69&gt;=300,VLOOKUP(B69,Lista_Precios!$A:$L,10,FALSE),IF(D69&gt;=100,VLOOKUP(B69,Lista_Precios!$A:$L,9,FALSE),IF(D69&gt;=50,VLOOKUP(B69,Lista_Precios!$A:$L,8,FALSE),IF(D69&gt;=30,VLOOKUP(B69,Lista_Precios!$A:$L,7,FALSE),IF(D69&gt;=10,VLOOKUP(B69,Lista_Precios!$A:$L,6,FALSE),VLOOKUP(B69,Lista_Precios!$A:$L,5,FALSE))))))</f>
        <v>1290</v>
      </c>
      <c r="F69" s="22">
        <f t="shared" si="1"/>
        <v>7740</v>
      </c>
      <c r="G69" s="22">
        <f>VLOOKUP(B69,Productos!$A:$P,9,FALSE)</f>
        <v>820</v>
      </c>
      <c r="H69" s="22">
        <f t="shared" si="2"/>
        <v>2820</v>
      </c>
      <c r="I69" s="19" t="str">
        <f t="shared" si="3"/>
        <v>1-9</v>
      </c>
      <c r="J69" s="23">
        <f>IF(D69&gt;=300,Escalas_Volumen!$D$8,IF(D69&gt;=100,Escalas_Volumen!$D$7,IF(D69&gt;=50,Escalas_Volumen!$D$6,IF(D69&gt;=30,Escalas_Volumen!$D$5,IF(D69&gt;=10,Escalas_Volumen!$D$4,Escalas_Volumen!$D$3)))))</f>
        <v>0</v>
      </c>
    </row>
    <row r="70" ht="15.75" customHeight="1">
      <c r="A70" s="19" t="s">
        <v>332</v>
      </c>
      <c r="B70" s="19" t="s">
        <v>255</v>
      </c>
      <c r="C70" s="19" t="s">
        <v>257</v>
      </c>
      <c r="D70" s="19">
        <v>30.0</v>
      </c>
      <c r="E70" s="22">
        <f>IF(D70&gt;=300,VLOOKUP(B70,Lista_Precios!$A:$L,10,FALSE),IF(D70&gt;=100,VLOOKUP(B70,Lista_Precios!$A:$L,9,FALSE),IF(D70&gt;=50,VLOOKUP(B70,Lista_Precios!$A:$L,8,FALSE),IF(D70&gt;=30,VLOOKUP(B70,Lista_Precios!$A:$L,7,FALSE),IF(D70&gt;=10,VLOOKUP(B70,Lista_Precios!$A:$L,6,FALSE),VLOOKUP(B70,Lista_Precios!$A:$L,5,FALSE))))))</f>
        <v>3496</v>
      </c>
      <c r="F70" s="22">
        <f t="shared" si="1"/>
        <v>104880</v>
      </c>
      <c r="G70" s="22">
        <f>VLOOKUP(B70,Productos!$A:$P,9,FALSE)</f>
        <v>2860</v>
      </c>
      <c r="H70" s="22">
        <f t="shared" si="2"/>
        <v>19080</v>
      </c>
      <c r="I70" s="19" t="str">
        <f t="shared" si="3"/>
        <v>30-49</v>
      </c>
      <c r="J70" s="23">
        <f>IF(D70&gt;=300,Escalas_Volumen!$D$8,IF(D70&gt;=100,Escalas_Volumen!$D$7,IF(D70&gt;=50,Escalas_Volumen!$D$6,IF(D70&gt;=30,Escalas_Volumen!$D$5,IF(D70&gt;=10,Escalas_Volumen!$D$4,Escalas_Volumen!$D$3)))))</f>
        <v>0.08</v>
      </c>
    </row>
    <row r="71" ht="15.75" customHeight="1">
      <c r="A71" s="19" t="s">
        <v>333</v>
      </c>
      <c r="B71" s="19" t="s">
        <v>224</v>
      </c>
      <c r="C71" s="19" t="s">
        <v>27</v>
      </c>
      <c r="D71" s="19">
        <v>50.0</v>
      </c>
      <c r="E71" s="22">
        <f>IF(D71&gt;=300,VLOOKUP(B71,Lista_Precios!$A:$L,10,FALSE),IF(D71&gt;=100,VLOOKUP(B71,Lista_Precios!$A:$L,9,FALSE),IF(D71&gt;=50,VLOOKUP(B71,Lista_Precios!$A:$L,8,FALSE),IF(D71&gt;=30,VLOOKUP(B71,Lista_Precios!$A:$L,7,FALSE),IF(D71&gt;=10,VLOOKUP(B71,Lista_Precios!$A:$L,6,FALSE),VLOOKUP(B71,Lista_Precios!$A:$L,5,FALSE))))))</f>
        <v>695.2</v>
      </c>
      <c r="F71" s="22">
        <f t="shared" si="1"/>
        <v>34760</v>
      </c>
      <c r="G71" s="22">
        <f>VLOOKUP(B71,Productos!$A:$P,9,FALSE)</f>
        <v>420</v>
      </c>
      <c r="H71" s="22">
        <f t="shared" si="2"/>
        <v>13760</v>
      </c>
      <c r="I71" s="19" t="str">
        <f t="shared" si="3"/>
        <v>50-99</v>
      </c>
      <c r="J71" s="23">
        <f>IF(D71&gt;=300,Escalas_Volumen!$D$8,IF(D71&gt;=100,Escalas_Volumen!$D$7,IF(D71&gt;=50,Escalas_Volumen!$D$6,IF(D71&gt;=30,Escalas_Volumen!$D$5,IF(D71&gt;=10,Escalas_Volumen!$D$4,Escalas_Volumen!$D$3)))))</f>
        <v>0.12</v>
      </c>
    </row>
    <row r="72" ht="15.75" customHeight="1">
      <c r="A72" s="19" t="s">
        <v>333</v>
      </c>
      <c r="B72" s="19" t="s">
        <v>219</v>
      </c>
      <c r="C72" s="19" t="s">
        <v>25</v>
      </c>
      <c r="D72" s="19">
        <v>12.0</v>
      </c>
      <c r="E72" s="22">
        <f>IF(D72&gt;=300,VLOOKUP(B72,Lista_Precios!$A:$L,10,FALSE),IF(D72&gt;=100,VLOOKUP(B72,Lista_Precios!$A:$L,9,FALSE),IF(D72&gt;=50,VLOOKUP(B72,Lista_Precios!$A:$L,8,FALSE),IF(D72&gt;=30,VLOOKUP(B72,Lista_Precios!$A:$L,7,FALSE),IF(D72&gt;=10,VLOOKUP(B72,Lista_Precios!$A:$L,6,FALSE),VLOOKUP(B72,Lista_Precios!$A:$L,5,FALSE))))))</f>
        <v>1225.5</v>
      </c>
      <c r="F72" s="22">
        <f t="shared" si="1"/>
        <v>14706</v>
      </c>
      <c r="G72" s="22">
        <f>VLOOKUP(B72,Productos!$A:$P,9,FALSE)</f>
        <v>820</v>
      </c>
      <c r="H72" s="22">
        <f t="shared" si="2"/>
        <v>4866</v>
      </c>
      <c r="I72" s="19" t="str">
        <f t="shared" si="3"/>
        <v>10-29</v>
      </c>
      <c r="J72" s="23">
        <f>IF(D72&gt;=300,Escalas_Volumen!$D$8,IF(D72&gt;=100,Escalas_Volumen!$D$7,IF(D72&gt;=50,Escalas_Volumen!$D$6,IF(D72&gt;=30,Escalas_Volumen!$D$5,IF(D72&gt;=10,Escalas_Volumen!$D$4,Escalas_Volumen!$D$3)))))</f>
        <v>0.05</v>
      </c>
    </row>
    <row r="73" ht="15.75" customHeight="1">
      <c r="A73" s="19" t="s">
        <v>333</v>
      </c>
      <c r="B73" s="19" t="s">
        <v>255</v>
      </c>
      <c r="C73" s="19" t="s">
        <v>257</v>
      </c>
      <c r="D73" s="19">
        <v>20.0</v>
      </c>
      <c r="E73" s="22">
        <f>IF(D73&gt;=300,VLOOKUP(B73,Lista_Precios!$A:$L,10,FALSE),IF(D73&gt;=100,VLOOKUP(B73,Lista_Precios!$A:$L,9,FALSE),IF(D73&gt;=50,VLOOKUP(B73,Lista_Precios!$A:$L,8,FALSE),IF(D73&gt;=30,VLOOKUP(B73,Lista_Precios!$A:$L,7,FALSE),IF(D73&gt;=10,VLOOKUP(B73,Lista_Precios!$A:$L,6,FALSE),VLOOKUP(B73,Lista_Precios!$A:$L,5,FALSE))))))</f>
        <v>3610</v>
      </c>
      <c r="F73" s="22">
        <f t="shared" si="1"/>
        <v>72200</v>
      </c>
      <c r="G73" s="22">
        <f>VLOOKUP(B73,Productos!$A:$P,9,FALSE)</f>
        <v>2860</v>
      </c>
      <c r="H73" s="22">
        <f t="shared" si="2"/>
        <v>15000</v>
      </c>
      <c r="I73" s="19" t="str">
        <f t="shared" si="3"/>
        <v>10-29</v>
      </c>
      <c r="J73" s="23">
        <f>IF(D73&gt;=300,Escalas_Volumen!$D$8,IF(D73&gt;=100,Escalas_Volumen!$D$7,IF(D73&gt;=50,Escalas_Volumen!$D$6,IF(D73&gt;=30,Escalas_Volumen!$D$5,IF(D73&gt;=10,Escalas_Volumen!$D$4,Escalas_Volumen!$D$3)))))</f>
        <v>0.05</v>
      </c>
    </row>
    <row r="74" ht="15.75" customHeight="1">
      <c r="A74" s="4"/>
      <c r="B74" s="4"/>
      <c r="C74" s="4"/>
      <c r="D74" s="4"/>
      <c r="E74" s="12"/>
      <c r="F74" s="12"/>
      <c r="G74" s="12"/>
      <c r="H74" s="12"/>
      <c r="I74" s="4"/>
      <c r="J74" s="25"/>
    </row>
    <row r="75" ht="15.75" customHeight="1">
      <c r="A75" s="4"/>
      <c r="B75" s="4"/>
      <c r="C75" s="4"/>
      <c r="D75" s="4"/>
      <c r="E75" s="12"/>
      <c r="F75" s="12"/>
      <c r="G75" s="12"/>
      <c r="H75" s="12"/>
      <c r="I75" s="4"/>
      <c r="J75" s="25"/>
    </row>
    <row r="76" ht="15.75" customHeight="1">
      <c r="A76" s="4"/>
      <c r="B76" s="4"/>
      <c r="C76" s="4"/>
      <c r="D76" s="4"/>
      <c r="E76" s="12"/>
      <c r="F76" s="12"/>
      <c r="G76" s="12"/>
      <c r="H76" s="12"/>
      <c r="I76" s="4"/>
      <c r="J76" s="25"/>
    </row>
    <row r="77" ht="15.75" customHeight="1">
      <c r="A77" s="4"/>
      <c r="B77" s="4"/>
      <c r="C77" s="4"/>
      <c r="D77" s="4"/>
      <c r="E77" s="12"/>
      <c r="F77" s="12"/>
      <c r="G77" s="12"/>
      <c r="H77" s="12"/>
      <c r="I77" s="4"/>
      <c r="J77" s="25"/>
    </row>
    <row r="78" ht="15.75" customHeight="1">
      <c r="A78" s="4"/>
      <c r="B78" s="4"/>
      <c r="C78" s="4"/>
      <c r="D78" s="4"/>
      <c r="E78" s="12"/>
      <c r="F78" s="12"/>
      <c r="G78" s="12"/>
      <c r="H78" s="12"/>
      <c r="I78" s="4"/>
      <c r="J78" s="25"/>
    </row>
    <row r="79" ht="15.75" customHeight="1">
      <c r="A79" s="4"/>
      <c r="B79" s="4"/>
      <c r="C79" s="4"/>
      <c r="D79" s="4"/>
      <c r="E79" s="12"/>
      <c r="F79" s="12"/>
      <c r="G79" s="12"/>
      <c r="H79" s="12"/>
      <c r="I79" s="4"/>
      <c r="J79" s="25"/>
    </row>
    <row r="80" ht="15.75" customHeight="1">
      <c r="A80" s="4"/>
      <c r="B80" s="4"/>
      <c r="C80" s="4"/>
      <c r="D80" s="4"/>
      <c r="E80" s="12"/>
      <c r="F80" s="12"/>
      <c r="G80" s="12"/>
      <c r="H80" s="12"/>
      <c r="I80" s="4"/>
      <c r="J80" s="25"/>
    </row>
    <row r="81" ht="15.75" customHeight="1">
      <c r="A81" s="4"/>
      <c r="B81" s="4"/>
      <c r="C81" s="4"/>
      <c r="D81" s="4"/>
      <c r="E81" s="12"/>
      <c r="F81" s="12"/>
      <c r="G81" s="12"/>
      <c r="H81" s="12"/>
      <c r="I81" s="4"/>
      <c r="J81" s="25"/>
    </row>
    <row r="82" ht="15.75" customHeight="1">
      <c r="A82" s="4"/>
      <c r="B82" s="4"/>
      <c r="C82" s="4"/>
      <c r="D82" s="4"/>
      <c r="E82" s="12"/>
      <c r="F82" s="12"/>
      <c r="G82" s="12"/>
      <c r="H82" s="12"/>
      <c r="I82" s="4"/>
      <c r="J82" s="25"/>
    </row>
    <row r="83" ht="15.75" customHeight="1">
      <c r="A83" s="4"/>
      <c r="B83" s="4"/>
      <c r="C83" s="4"/>
      <c r="D83" s="4"/>
      <c r="E83" s="12"/>
      <c r="F83" s="12"/>
      <c r="G83" s="12"/>
      <c r="H83" s="12"/>
      <c r="I83" s="4"/>
      <c r="J83" s="25"/>
    </row>
    <row r="84" ht="15.75" customHeight="1">
      <c r="A84" s="4"/>
      <c r="B84" s="4"/>
      <c r="C84" s="4"/>
      <c r="D84" s="4"/>
      <c r="E84" s="12"/>
      <c r="F84" s="12"/>
      <c r="G84" s="12"/>
      <c r="H84" s="12"/>
      <c r="I84" s="4"/>
      <c r="J84" s="25"/>
    </row>
    <row r="85" ht="15.75" customHeight="1">
      <c r="A85" s="4"/>
      <c r="B85" s="4"/>
      <c r="C85" s="4"/>
      <c r="D85" s="4"/>
      <c r="E85" s="12"/>
      <c r="F85" s="12"/>
      <c r="G85" s="12"/>
      <c r="H85" s="12"/>
      <c r="I85" s="4"/>
      <c r="J85" s="25"/>
    </row>
    <row r="86" ht="15.75" customHeight="1">
      <c r="A86" s="4"/>
      <c r="B86" s="4"/>
      <c r="C86" s="4"/>
      <c r="D86" s="4"/>
      <c r="E86" s="12"/>
      <c r="F86" s="12"/>
      <c r="G86" s="12"/>
      <c r="H86" s="12"/>
      <c r="I86" s="4"/>
      <c r="J86" s="25"/>
    </row>
    <row r="87" ht="15.75" customHeight="1">
      <c r="A87" s="4"/>
      <c r="B87" s="4"/>
      <c r="C87" s="4"/>
      <c r="D87" s="4"/>
      <c r="E87" s="12"/>
      <c r="F87" s="12"/>
      <c r="G87" s="12"/>
      <c r="H87" s="12"/>
      <c r="I87" s="4"/>
      <c r="J87" s="25"/>
    </row>
    <row r="88" ht="15.75" customHeight="1">
      <c r="A88" s="4"/>
      <c r="B88" s="4"/>
      <c r="C88" s="4"/>
      <c r="D88" s="4"/>
      <c r="E88" s="12"/>
      <c r="F88" s="12"/>
      <c r="G88" s="12"/>
      <c r="H88" s="12"/>
      <c r="I88" s="4"/>
      <c r="J88" s="25"/>
    </row>
    <row r="89" ht="15.75" customHeight="1">
      <c r="A89" s="4"/>
      <c r="B89" s="4"/>
      <c r="C89" s="4"/>
      <c r="D89" s="4"/>
      <c r="E89" s="12"/>
      <c r="F89" s="12"/>
      <c r="G89" s="12"/>
      <c r="H89" s="12"/>
      <c r="I89" s="4"/>
      <c r="J89" s="25"/>
    </row>
    <row r="90" ht="15.75" customHeight="1">
      <c r="A90" s="4"/>
      <c r="B90" s="4"/>
      <c r="C90" s="4"/>
      <c r="D90" s="4"/>
      <c r="E90" s="12"/>
      <c r="F90" s="12"/>
      <c r="G90" s="12"/>
      <c r="H90" s="12"/>
      <c r="I90" s="4"/>
      <c r="J90" s="25"/>
    </row>
    <row r="91" ht="15.75" customHeight="1">
      <c r="A91" s="4"/>
      <c r="B91" s="4"/>
      <c r="C91" s="4"/>
      <c r="D91" s="4"/>
      <c r="E91" s="12"/>
      <c r="F91" s="12"/>
      <c r="G91" s="12"/>
      <c r="H91" s="12"/>
      <c r="I91" s="4"/>
      <c r="J91" s="25"/>
    </row>
    <row r="92" ht="15.75" customHeight="1">
      <c r="A92" s="4"/>
      <c r="B92" s="4"/>
      <c r="C92" s="4"/>
      <c r="D92" s="4"/>
      <c r="E92" s="12"/>
      <c r="F92" s="12"/>
      <c r="G92" s="12"/>
      <c r="H92" s="12"/>
      <c r="I92" s="4"/>
      <c r="J92" s="25"/>
    </row>
    <row r="93" ht="15.75" customHeight="1">
      <c r="A93" s="4"/>
      <c r="B93" s="4"/>
      <c r="C93" s="4"/>
      <c r="D93" s="4"/>
      <c r="E93" s="12"/>
      <c r="F93" s="12"/>
      <c r="G93" s="12"/>
      <c r="H93" s="12"/>
      <c r="I93" s="4"/>
      <c r="J93" s="25"/>
    </row>
    <row r="94" ht="15.75" customHeight="1">
      <c r="A94" s="4"/>
      <c r="B94" s="4"/>
      <c r="C94" s="4"/>
      <c r="D94" s="4"/>
      <c r="E94" s="12"/>
      <c r="F94" s="12"/>
      <c r="G94" s="12"/>
      <c r="H94" s="12"/>
      <c r="I94" s="4"/>
      <c r="J94" s="25"/>
    </row>
    <row r="95" ht="15.75" customHeight="1">
      <c r="A95" s="4"/>
      <c r="B95" s="4"/>
      <c r="C95" s="4"/>
      <c r="D95" s="4"/>
      <c r="E95" s="12"/>
      <c r="F95" s="12"/>
      <c r="G95" s="12"/>
      <c r="H95" s="12"/>
      <c r="I95" s="4"/>
      <c r="J95" s="25"/>
    </row>
    <row r="96" ht="15.75" customHeight="1">
      <c r="A96" s="4"/>
      <c r="B96" s="4"/>
      <c r="C96" s="4"/>
      <c r="D96" s="4"/>
      <c r="E96" s="12"/>
      <c r="F96" s="12"/>
      <c r="G96" s="12"/>
      <c r="H96" s="12"/>
      <c r="I96" s="4"/>
      <c r="J96" s="25"/>
    </row>
    <row r="97" ht="15.75" customHeight="1">
      <c r="A97" s="4"/>
      <c r="B97" s="4"/>
      <c r="C97" s="4"/>
      <c r="D97" s="4"/>
      <c r="E97" s="12"/>
      <c r="F97" s="12"/>
      <c r="G97" s="12"/>
      <c r="H97" s="12"/>
      <c r="I97" s="4"/>
      <c r="J97" s="25"/>
    </row>
    <row r="98" ht="15.75" customHeight="1">
      <c r="A98" s="4"/>
      <c r="B98" s="4"/>
      <c r="C98" s="4"/>
      <c r="D98" s="4"/>
      <c r="E98" s="12"/>
      <c r="F98" s="12"/>
      <c r="G98" s="12"/>
      <c r="H98" s="12"/>
      <c r="I98" s="4"/>
      <c r="J98" s="25"/>
    </row>
    <row r="99" ht="15.75" customHeight="1">
      <c r="A99" s="4"/>
      <c r="B99" s="4"/>
      <c r="C99" s="4"/>
      <c r="D99" s="4"/>
      <c r="E99" s="12"/>
      <c r="F99" s="12"/>
      <c r="G99" s="12"/>
      <c r="H99" s="12"/>
      <c r="I99" s="4"/>
      <c r="J99" s="25"/>
    </row>
    <row r="100" ht="15.75" customHeight="1">
      <c r="A100" s="4"/>
      <c r="B100" s="4"/>
      <c r="C100" s="4"/>
      <c r="D100" s="4"/>
      <c r="E100" s="12"/>
      <c r="F100" s="12"/>
      <c r="G100" s="12"/>
      <c r="H100" s="12"/>
      <c r="I100" s="4"/>
      <c r="J100" s="25"/>
    </row>
    <row r="101" ht="15.75" customHeight="1">
      <c r="A101" s="4"/>
      <c r="B101" s="4"/>
      <c r="C101" s="4"/>
      <c r="D101" s="4"/>
      <c r="E101" s="12"/>
      <c r="F101" s="12"/>
      <c r="G101" s="12"/>
      <c r="H101" s="12"/>
      <c r="I101" s="4"/>
      <c r="J101" s="25"/>
    </row>
    <row r="102" ht="15.75" customHeight="1">
      <c r="A102" s="4"/>
      <c r="B102" s="4"/>
      <c r="C102" s="4"/>
      <c r="D102" s="4"/>
      <c r="E102" s="12"/>
      <c r="F102" s="12"/>
      <c r="G102" s="12"/>
      <c r="H102" s="12"/>
      <c r="I102" s="4"/>
      <c r="J102" s="25"/>
    </row>
    <row r="103" ht="15.75" customHeight="1">
      <c r="A103" s="4"/>
      <c r="B103" s="4"/>
      <c r="C103" s="4"/>
      <c r="D103" s="4"/>
      <c r="E103" s="12"/>
      <c r="F103" s="12"/>
      <c r="G103" s="12"/>
      <c r="H103" s="12"/>
      <c r="I103" s="4"/>
      <c r="J103" s="25"/>
    </row>
    <row r="104" ht="15.75" customHeight="1">
      <c r="A104" s="4"/>
      <c r="B104" s="4"/>
      <c r="C104" s="4"/>
      <c r="D104" s="4"/>
      <c r="E104" s="12"/>
      <c r="F104" s="12"/>
      <c r="G104" s="12"/>
      <c r="H104" s="12"/>
      <c r="I104" s="4"/>
      <c r="J104" s="25"/>
    </row>
    <row r="105" ht="15.75" customHeight="1">
      <c r="A105" s="4"/>
      <c r="B105" s="4"/>
      <c r="C105" s="4"/>
      <c r="D105" s="4"/>
      <c r="E105" s="12"/>
      <c r="F105" s="12"/>
      <c r="G105" s="12"/>
      <c r="H105" s="12"/>
      <c r="I105" s="4"/>
      <c r="J105" s="25"/>
    </row>
    <row r="106" ht="15.75" customHeight="1">
      <c r="A106" s="4"/>
      <c r="B106" s="4"/>
      <c r="C106" s="4"/>
      <c r="D106" s="4"/>
      <c r="E106" s="12"/>
      <c r="F106" s="12"/>
      <c r="G106" s="12"/>
      <c r="H106" s="12"/>
      <c r="I106" s="4"/>
      <c r="J106" s="25"/>
    </row>
    <row r="107" ht="15.75" customHeight="1">
      <c r="A107" s="4"/>
      <c r="B107" s="4"/>
      <c r="C107" s="4"/>
      <c r="D107" s="4"/>
      <c r="E107" s="12"/>
      <c r="F107" s="12"/>
      <c r="G107" s="12"/>
      <c r="H107" s="12"/>
      <c r="I107" s="4"/>
      <c r="J107" s="25"/>
    </row>
    <row r="108" ht="15.75" customHeight="1">
      <c r="A108" s="4"/>
      <c r="B108" s="4"/>
      <c r="C108" s="4"/>
      <c r="D108" s="4"/>
      <c r="E108" s="12"/>
      <c r="F108" s="12"/>
      <c r="G108" s="12"/>
      <c r="H108" s="12"/>
      <c r="I108" s="4"/>
      <c r="J108" s="25"/>
    </row>
    <row r="109" ht="15.75" customHeight="1">
      <c r="A109" s="4"/>
      <c r="B109" s="4"/>
      <c r="C109" s="4"/>
      <c r="D109" s="4"/>
      <c r="E109" s="12"/>
      <c r="F109" s="12"/>
      <c r="G109" s="12"/>
      <c r="H109" s="12"/>
      <c r="I109" s="4"/>
      <c r="J109" s="25"/>
    </row>
    <row r="110" ht="15.75" customHeight="1">
      <c r="A110" s="4"/>
      <c r="B110" s="4"/>
      <c r="C110" s="4"/>
      <c r="D110" s="4"/>
      <c r="E110" s="12"/>
      <c r="F110" s="12"/>
      <c r="G110" s="12"/>
      <c r="H110" s="12"/>
      <c r="I110" s="4"/>
      <c r="J110" s="25"/>
    </row>
    <row r="111" ht="15.75" customHeight="1">
      <c r="A111" s="4"/>
      <c r="B111" s="4"/>
      <c r="C111" s="4"/>
      <c r="D111" s="4"/>
      <c r="E111" s="12"/>
      <c r="F111" s="12"/>
      <c r="G111" s="12"/>
      <c r="H111" s="12"/>
      <c r="I111" s="4"/>
      <c r="J111" s="25"/>
    </row>
    <row r="112" ht="15.75" customHeight="1">
      <c r="A112" s="4"/>
      <c r="B112" s="4"/>
      <c r="C112" s="4"/>
      <c r="D112" s="4"/>
      <c r="E112" s="12"/>
      <c r="F112" s="12"/>
      <c r="G112" s="12"/>
      <c r="H112" s="12"/>
      <c r="I112" s="4"/>
      <c r="J112" s="25"/>
    </row>
    <row r="113" ht="15.75" customHeight="1">
      <c r="A113" s="4"/>
      <c r="B113" s="4"/>
      <c r="C113" s="4"/>
      <c r="D113" s="4"/>
      <c r="E113" s="12"/>
      <c r="F113" s="12"/>
      <c r="G113" s="12"/>
      <c r="H113" s="12"/>
      <c r="I113" s="4"/>
      <c r="J113" s="25"/>
    </row>
    <row r="114" ht="15.75" customHeight="1">
      <c r="A114" s="4"/>
      <c r="B114" s="4"/>
      <c r="C114" s="4"/>
      <c r="D114" s="4"/>
      <c r="E114" s="12"/>
      <c r="F114" s="12"/>
      <c r="G114" s="12"/>
      <c r="H114" s="12"/>
      <c r="I114" s="4"/>
      <c r="J114" s="25"/>
    </row>
    <row r="115" ht="15.75" customHeight="1">
      <c r="A115" s="4"/>
      <c r="B115" s="4"/>
      <c r="C115" s="4"/>
      <c r="D115" s="4"/>
      <c r="E115" s="12"/>
      <c r="F115" s="12"/>
      <c r="G115" s="12"/>
      <c r="H115" s="12"/>
      <c r="I115" s="4"/>
      <c r="J115" s="25"/>
    </row>
    <row r="116" ht="15.75" customHeight="1">
      <c r="A116" s="4"/>
      <c r="B116" s="4"/>
      <c r="C116" s="4"/>
      <c r="D116" s="4"/>
      <c r="E116" s="12"/>
      <c r="F116" s="12"/>
      <c r="G116" s="12"/>
      <c r="H116" s="12"/>
      <c r="I116" s="4"/>
      <c r="J116" s="25"/>
    </row>
    <row r="117" ht="15.75" customHeight="1">
      <c r="A117" s="4"/>
      <c r="B117" s="4"/>
      <c r="C117" s="4"/>
      <c r="D117" s="4"/>
      <c r="E117" s="12"/>
      <c r="F117" s="12"/>
      <c r="G117" s="12"/>
      <c r="H117" s="12"/>
      <c r="I117" s="4"/>
      <c r="J117" s="25"/>
    </row>
    <row r="118" ht="15.75" customHeight="1">
      <c r="A118" s="4"/>
      <c r="B118" s="4"/>
      <c r="C118" s="4"/>
      <c r="D118" s="4"/>
      <c r="E118" s="12"/>
      <c r="F118" s="12"/>
      <c r="G118" s="12"/>
      <c r="H118" s="12"/>
      <c r="I118" s="4"/>
      <c r="J118" s="25"/>
    </row>
    <row r="119" ht="15.75" customHeight="1">
      <c r="A119" s="4"/>
      <c r="B119" s="4"/>
      <c r="C119" s="4"/>
      <c r="D119" s="4"/>
      <c r="E119" s="12"/>
      <c r="F119" s="12"/>
      <c r="G119" s="12"/>
      <c r="H119" s="12"/>
      <c r="I119" s="4"/>
      <c r="J119" s="25"/>
    </row>
    <row r="120" ht="15.75" customHeight="1">
      <c r="A120" s="4"/>
      <c r="B120" s="4"/>
      <c r="C120" s="4"/>
      <c r="D120" s="4"/>
      <c r="E120" s="12"/>
      <c r="F120" s="12"/>
      <c r="G120" s="12"/>
      <c r="H120" s="12"/>
      <c r="I120" s="4"/>
      <c r="J120" s="25"/>
    </row>
    <row r="121" ht="15.75" customHeight="1">
      <c r="A121" s="4"/>
      <c r="B121" s="4"/>
      <c r="C121" s="4"/>
      <c r="D121" s="4"/>
      <c r="E121" s="12"/>
      <c r="F121" s="12"/>
      <c r="G121" s="12"/>
      <c r="H121" s="12"/>
      <c r="I121" s="4"/>
      <c r="J121" s="25"/>
    </row>
    <row r="122" ht="15.75" customHeight="1">
      <c r="A122" s="4"/>
      <c r="B122" s="4"/>
      <c r="C122" s="4"/>
      <c r="D122" s="4"/>
      <c r="E122" s="12"/>
      <c r="F122" s="12"/>
      <c r="G122" s="12"/>
      <c r="H122" s="12"/>
      <c r="I122" s="4"/>
      <c r="J122" s="25"/>
    </row>
    <row r="123" ht="15.75" customHeight="1">
      <c r="A123" s="4"/>
      <c r="B123" s="4"/>
      <c r="C123" s="4"/>
      <c r="D123" s="4"/>
      <c r="E123" s="12"/>
      <c r="F123" s="12"/>
      <c r="G123" s="12"/>
      <c r="H123" s="12"/>
      <c r="I123" s="4"/>
      <c r="J123" s="25"/>
    </row>
    <row r="124" ht="15.75" customHeight="1">
      <c r="A124" s="4"/>
      <c r="B124" s="4"/>
      <c r="C124" s="4"/>
      <c r="D124" s="4"/>
      <c r="E124" s="12"/>
      <c r="F124" s="12"/>
      <c r="G124" s="12"/>
      <c r="H124" s="12"/>
      <c r="I124" s="4"/>
      <c r="J124" s="25"/>
    </row>
    <row r="125" ht="15.75" customHeight="1">
      <c r="A125" s="4"/>
      <c r="B125" s="4"/>
      <c r="C125" s="4"/>
      <c r="D125" s="4"/>
      <c r="E125" s="12"/>
      <c r="F125" s="12"/>
      <c r="G125" s="12"/>
      <c r="H125" s="12"/>
      <c r="I125" s="4"/>
      <c r="J125" s="25"/>
    </row>
    <row r="126" ht="15.75" customHeight="1">
      <c r="A126" s="4"/>
      <c r="B126" s="4"/>
      <c r="C126" s="4"/>
      <c r="D126" s="4"/>
      <c r="E126" s="12"/>
      <c r="F126" s="12"/>
      <c r="G126" s="12"/>
      <c r="H126" s="12"/>
      <c r="I126" s="4"/>
      <c r="J126" s="25"/>
    </row>
    <row r="127" ht="15.75" customHeight="1">
      <c r="A127" s="4"/>
      <c r="B127" s="4"/>
      <c r="C127" s="4"/>
      <c r="D127" s="4"/>
      <c r="E127" s="12"/>
      <c r="F127" s="12"/>
      <c r="G127" s="12"/>
      <c r="H127" s="12"/>
      <c r="I127" s="4"/>
      <c r="J127" s="25"/>
    </row>
    <row r="128" ht="15.75" customHeight="1">
      <c r="A128" s="4"/>
      <c r="B128" s="4"/>
      <c r="C128" s="4"/>
      <c r="D128" s="4"/>
      <c r="E128" s="12"/>
      <c r="F128" s="12"/>
      <c r="G128" s="12"/>
      <c r="H128" s="12"/>
      <c r="I128" s="4"/>
      <c r="J128" s="25"/>
    </row>
    <row r="129" ht="15.75" customHeight="1">
      <c r="A129" s="4"/>
      <c r="B129" s="4"/>
      <c r="C129" s="4"/>
      <c r="D129" s="4"/>
      <c r="E129" s="12"/>
      <c r="F129" s="12"/>
      <c r="G129" s="12"/>
      <c r="H129" s="12"/>
      <c r="I129" s="4"/>
      <c r="J129" s="25"/>
    </row>
    <row r="130" ht="15.75" customHeight="1">
      <c r="A130" s="4"/>
      <c r="B130" s="4"/>
      <c r="C130" s="4"/>
      <c r="D130" s="4"/>
      <c r="E130" s="12"/>
      <c r="F130" s="12"/>
      <c r="G130" s="12"/>
      <c r="H130" s="12"/>
      <c r="I130" s="4"/>
      <c r="J130" s="25"/>
    </row>
    <row r="131" ht="15.75" customHeight="1">
      <c r="A131" s="4"/>
      <c r="B131" s="4"/>
      <c r="C131" s="4"/>
      <c r="D131" s="4"/>
      <c r="E131" s="12"/>
      <c r="F131" s="12"/>
      <c r="G131" s="12"/>
      <c r="H131" s="12"/>
      <c r="I131" s="4"/>
      <c r="J131" s="25"/>
    </row>
    <row r="132" ht="15.75" customHeight="1">
      <c r="A132" s="4"/>
      <c r="B132" s="4"/>
      <c r="C132" s="4"/>
      <c r="D132" s="4"/>
      <c r="E132" s="12"/>
      <c r="F132" s="12"/>
      <c r="G132" s="12"/>
      <c r="H132" s="12"/>
      <c r="I132" s="4"/>
      <c r="J132" s="25"/>
    </row>
    <row r="133" ht="15.75" customHeight="1">
      <c r="A133" s="4"/>
      <c r="B133" s="4"/>
      <c r="C133" s="4"/>
      <c r="D133" s="4"/>
      <c r="E133" s="12"/>
      <c r="F133" s="12"/>
      <c r="G133" s="12"/>
      <c r="H133" s="12"/>
      <c r="I133" s="4"/>
      <c r="J133" s="25"/>
    </row>
    <row r="134" ht="15.75" customHeight="1">
      <c r="A134" s="4"/>
      <c r="B134" s="4"/>
      <c r="C134" s="4"/>
      <c r="D134" s="4"/>
      <c r="E134" s="12"/>
      <c r="F134" s="12"/>
      <c r="G134" s="12"/>
      <c r="H134" s="12"/>
      <c r="I134" s="4"/>
      <c r="J134" s="25"/>
    </row>
    <row r="135" ht="15.75" customHeight="1">
      <c r="A135" s="4"/>
      <c r="B135" s="4"/>
      <c r="C135" s="4"/>
      <c r="D135" s="4"/>
      <c r="E135" s="12"/>
      <c r="F135" s="12"/>
      <c r="G135" s="12"/>
      <c r="H135" s="12"/>
      <c r="I135" s="4"/>
      <c r="J135" s="25"/>
    </row>
    <row r="136" ht="15.75" customHeight="1">
      <c r="A136" s="4"/>
      <c r="B136" s="4"/>
      <c r="C136" s="4"/>
      <c r="D136" s="4"/>
      <c r="E136" s="12"/>
      <c r="F136" s="12"/>
      <c r="G136" s="12"/>
      <c r="H136" s="12"/>
      <c r="I136" s="4"/>
      <c r="J136" s="25"/>
    </row>
    <row r="137" ht="15.75" customHeight="1">
      <c r="A137" s="4"/>
      <c r="B137" s="4"/>
      <c r="C137" s="4"/>
      <c r="D137" s="4"/>
      <c r="E137" s="12"/>
      <c r="F137" s="12"/>
      <c r="G137" s="12"/>
      <c r="H137" s="12"/>
      <c r="I137" s="4"/>
      <c r="J137" s="25"/>
    </row>
    <row r="138" ht="15.75" customHeight="1">
      <c r="A138" s="4"/>
      <c r="B138" s="4"/>
      <c r="C138" s="4"/>
      <c r="D138" s="4"/>
      <c r="E138" s="12"/>
      <c r="F138" s="12"/>
      <c r="G138" s="12"/>
      <c r="H138" s="12"/>
      <c r="I138" s="4"/>
      <c r="J138" s="25"/>
    </row>
    <row r="139" ht="15.75" customHeight="1">
      <c r="A139" s="4"/>
      <c r="B139" s="4"/>
      <c r="C139" s="4"/>
      <c r="D139" s="4"/>
      <c r="E139" s="12"/>
      <c r="F139" s="12"/>
      <c r="G139" s="12"/>
      <c r="H139" s="12"/>
      <c r="I139" s="4"/>
      <c r="J139" s="25"/>
    </row>
    <row r="140" ht="15.75" customHeight="1">
      <c r="A140" s="4"/>
      <c r="B140" s="4"/>
      <c r="C140" s="4"/>
      <c r="D140" s="4"/>
      <c r="E140" s="12"/>
      <c r="F140" s="12"/>
      <c r="G140" s="12"/>
      <c r="H140" s="12"/>
      <c r="I140" s="4"/>
      <c r="J140" s="25"/>
    </row>
    <row r="141" ht="15.75" customHeight="1">
      <c r="A141" s="4"/>
      <c r="B141" s="4"/>
      <c r="C141" s="4"/>
      <c r="D141" s="4"/>
      <c r="E141" s="12"/>
      <c r="F141" s="12"/>
      <c r="G141" s="12"/>
      <c r="H141" s="12"/>
      <c r="I141" s="4"/>
      <c r="J141" s="25"/>
    </row>
    <row r="142" ht="15.75" customHeight="1">
      <c r="A142" s="4"/>
      <c r="B142" s="4"/>
      <c r="C142" s="4"/>
      <c r="D142" s="4"/>
      <c r="E142" s="12"/>
      <c r="F142" s="12"/>
      <c r="G142" s="12"/>
      <c r="H142" s="12"/>
      <c r="I142" s="4"/>
      <c r="J142" s="25"/>
    </row>
    <row r="143" ht="15.75" customHeight="1">
      <c r="A143" s="4"/>
      <c r="B143" s="4"/>
      <c r="C143" s="4"/>
      <c r="D143" s="4"/>
      <c r="E143" s="12"/>
      <c r="F143" s="12"/>
      <c r="G143" s="12"/>
      <c r="H143" s="12"/>
      <c r="I143" s="4"/>
      <c r="J143" s="25"/>
    </row>
    <row r="144" ht="15.75" customHeight="1">
      <c r="A144" s="4"/>
      <c r="B144" s="4"/>
      <c r="C144" s="4"/>
      <c r="D144" s="4"/>
      <c r="E144" s="12"/>
      <c r="F144" s="12"/>
      <c r="G144" s="12"/>
      <c r="H144" s="12"/>
      <c r="I144" s="4"/>
      <c r="J144" s="25"/>
    </row>
    <row r="145" ht="15.75" customHeight="1">
      <c r="A145" s="4"/>
      <c r="B145" s="4"/>
      <c r="C145" s="4"/>
      <c r="D145" s="4"/>
      <c r="E145" s="12"/>
      <c r="F145" s="12"/>
      <c r="G145" s="12"/>
      <c r="H145" s="12"/>
      <c r="I145" s="4"/>
      <c r="J145" s="25"/>
    </row>
    <row r="146" ht="15.75" customHeight="1">
      <c r="A146" s="4"/>
      <c r="B146" s="4"/>
      <c r="C146" s="4"/>
      <c r="D146" s="4"/>
      <c r="E146" s="12"/>
      <c r="F146" s="12"/>
      <c r="G146" s="12"/>
      <c r="H146" s="12"/>
      <c r="I146" s="4"/>
      <c r="J146" s="25"/>
    </row>
    <row r="147" ht="15.75" customHeight="1">
      <c r="A147" s="4"/>
      <c r="B147" s="4"/>
      <c r="C147" s="4"/>
      <c r="D147" s="4"/>
      <c r="E147" s="12"/>
      <c r="F147" s="12"/>
      <c r="G147" s="12"/>
      <c r="H147" s="12"/>
      <c r="I147" s="4"/>
      <c r="J147" s="25"/>
    </row>
    <row r="148" ht="15.75" customHeight="1">
      <c r="A148" s="4"/>
      <c r="B148" s="4"/>
      <c r="C148" s="4"/>
      <c r="D148" s="4"/>
      <c r="E148" s="12"/>
      <c r="F148" s="12"/>
      <c r="G148" s="12"/>
      <c r="H148" s="12"/>
      <c r="I148" s="4"/>
      <c r="J148" s="25"/>
    </row>
    <row r="149" ht="15.75" customHeight="1">
      <c r="A149" s="4"/>
      <c r="B149" s="4"/>
      <c r="C149" s="4"/>
      <c r="D149" s="4"/>
      <c r="E149" s="12"/>
      <c r="F149" s="12"/>
      <c r="G149" s="12"/>
      <c r="H149" s="12"/>
      <c r="I149" s="4"/>
      <c r="J149" s="25"/>
    </row>
    <row r="150" ht="15.75" customHeight="1">
      <c r="A150" s="4"/>
      <c r="B150" s="4"/>
      <c r="C150" s="4"/>
      <c r="D150" s="4"/>
      <c r="E150" s="12"/>
      <c r="F150" s="12"/>
      <c r="G150" s="12"/>
      <c r="H150" s="12"/>
      <c r="I150" s="4"/>
      <c r="J150" s="25"/>
    </row>
    <row r="151" ht="15.75" customHeight="1">
      <c r="A151" s="4"/>
      <c r="B151" s="4"/>
      <c r="C151" s="4"/>
      <c r="D151" s="4"/>
      <c r="E151" s="12"/>
      <c r="F151" s="12"/>
      <c r="G151" s="12"/>
      <c r="H151" s="12"/>
      <c r="I151" s="4"/>
      <c r="J151" s="25"/>
    </row>
    <row r="152" ht="15.75" customHeight="1">
      <c r="A152" s="4"/>
      <c r="B152" s="4"/>
      <c r="C152" s="4"/>
      <c r="D152" s="4"/>
      <c r="E152" s="12"/>
      <c r="F152" s="12"/>
      <c r="G152" s="12"/>
      <c r="H152" s="12"/>
      <c r="I152" s="4"/>
      <c r="J152" s="25"/>
    </row>
    <row r="153" ht="15.75" customHeight="1">
      <c r="A153" s="4"/>
      <c r="B153" s="4"/>
      <c r="C153" s="4"/>
      <c r="D153" s="4"/>
      <c r="E153" s="12"/>
      <c r="F153" s="12"/>
      <c r="G153" s="12"/>
      <c r="H153" s="12"/>
      <c r="I153" s="4"/>
      <c r="J153" s="25"/>
    </row>
    <row r="154" ht="15.75" customHeight="1">
      <c r="A154" s="4"/>
      <c r="B154" s="4"/>
      <c r="C154" s="4"/>
      <c r="D154" s="4"/>
      <c r="E154" s="12"/>
      <c r="F154" s="12"/>
      <c r="G154" s="12"/>
      <c r="H154" s="12"/>
      <c r="I154" s="4"/>
      <c r="J154" s="25"/>
    </row>
    <row r="155" ht="15.75" customHeight="1">
      <c r="A155" s="4"/>
      <c r="B155" s="4"/>
      <c r="C155" s="4"/>
      <c r="D155" s="4"/>
      <c r="E155" s="12"/>
      <c r="F155" s="12"/>
      <c r="G155" s="12"/>
      <c r="H155" s="12"/>
      <c r="I155" s="4"/>
      <c r="J155" s="25"/>
    </row>
    <row r="156" ht="15.75" customHeight="1">
      <c r="A156" s="4"/>
      <c r="B156" s="4"/>
      <c r="C156" s="4"/>
      <c r="D156" s="4"/>
      <c r="E156" s="12"/>
      <c r="F156" s="12"/>
      <c r="G156" s="12"/>
      <c r="H156" s="12"/>
      <c r="I156" s="4"/>
      <c r="J156" s="25"/>
    </row>
    <row r="157" ht="15.75" customHeight="1">
      <c r="A157" s="4"/>
      <c r="B157" s="4"/>
      <c r="C157" s="4"/>
      <c r="D157" s="4"/>
      <c r="E157" s="12"/>
      <c r="F157" s="12"/>
      <c r="G157" s="12"/>
      <c r="H157" s="12"/>
      <c r="I157" s="4"/>
      <c r="J157" s="25"/>
    </row>
    <row r="158" ht="15.75" customHeight="1">
      <c r="A158" s="4"/>
      <c r="B158" s="4"/>
      <c r="C158" s="4"/>
      <c r="D158" s="4"/>
      <c r="E158" s="12"/>
      <c r="F158" s="12"/>
      <c r="G158" s="12"/>
      <c r="H158" s="12"/>
      <c r="I158" s="4"/>
      <c r="J158" s="25"/>
    </row>
    <row r="159" ht="15.75" customHeight="1">
      <c r="A159" s="4"/>
      <c r="B159" s="4"/>
      <c r="C159" s="4"/>
      <c r="D159" s="4"/>
      <c r="E159" s="12"/>
      <c r="F159" s="12"/>
      <c r="G159" s="12"/>
      <c r="H159" s="12"/>
      <c r="I159" s="4"/>
      <c r="J159" s="25"/>
    </row>
    <row r="160" ht="15.75" customHeight="1">
      <c r="A160" s="4"/>
      <c r="B160" s="4"/>
      <c r="C160" s="4"/>
      <c r="D160" s="4"/>
      <c r="E160" s="12"/>
      <c r="F160" s="12"/>
      <c r="G160" s="12"/>
      <c r="H160" s="12"/>
      <c r="I160" s="4"/>
      <c r="J160" s="25"/>
    </row>
    <row r="161" ht="15.75" customHeight="1">
      <c r="A161" s="4"/>
      <c r="B161" s="4"/>
      <c r="C161" s="4"/>
      <c r="D161" s="4"/>
      <c r="E161" s="12"/>
      <c r="F161" s="12"/>
      <c r="G161" s="12"/>
      <c r="H161" s="12"/>
      <c r="I161" s="4"/>
      <c r="J161" s="25"/>
    </row>
    <row r="162" ht="15.75" customHeight="1">
      <c r="A162" s="4"/>
      <c r="B162" s="4"/>
      <c r="C162" s="4"/>
      <c r="D162" s="4"/>
      <c r="E162" s="12"/>
      <c r="F162" s="12"/>
      <c r="G162" s="12"/>
      <c r="H162" s="12"/>
      <c r="I162" s="4"/>
      <c r="J162" s="25"/>
    </row>
    <row r="163" ht="15.75" customHeight="1">
      <c r="A163" s="4"/>
      <c r="B163" s="4"/>
      <c r="C163" s="4"/>
      <c r="D163" s="4"/>
      <c r="E163" s="12"/>
      <c r="F163" s="12"/>
      <c r="G163" s="12"/>
      <c r="H163" s="12"/>
      <c r="I163" s="4"/>
      <c r="J163" s="25"/>
    </row>
    <row r="164" ht="15.75" customHeight="1">
      <c r="A164" s="4"/>
      <c r="B164" s="4"/>
      <c r="C164" s="4"/>
      <c r="D164" s="4"/>
      <c r="E164" s="12"/>
      <c r="F164" s="12"/>
      <c r="G164" s="12"/>
      <c r="H164" s="12"/>
      <c r="I164" s="4"/>
      <c r="J164" s="25"/>
    </row>
    <row r="165" ht="15.75" customHeight="1">
      <c r="A165" s="4"/>
      <c r="B165" s="4"/>
      <c r="C165" s="4"/>
      <c r="D165" s="4"/>
      <c r="E165" s="12"/>
      <c r="F165" s="12"/>
      <c r="G165" s="12"/>
      <c r="H165" s="12"/>
      <c r="I165" s="4"/>
      <c r="J165" s="25"/>
    </row>
    <row r="166" ht="15.75" customHeight="1">
      <c r="A166" s="4"/>
      <c r="B166" s="4"/>
      <c r="C166" s="4"/>
      <c r="D166" s="4"/>
      <c r="E166" s="12"/>
      <c r="F166" s="12"/>
      <c r="G166" s="12"/>
      <c r="H166" s="12"/>
      <c r="I166" s="4"/>
      <c r="J166" s="25"/>
    </row>
    <row r="167" ht="15.75" customHeight="1">
      <c r="A167" s="4"/>
      <c r="B167" s="4"/>
      <c r="C167" s="4"/>
      <c r="D167" s="4"/>
      <c r="E167" s="12"/>
      <c r="F167" s="12"/>
      <c r="G167" s="12"/>
      <c r="H167" s="12"/>
      <c r="I167" s="4"/>
      <c r="J167" s="25"/>
    </row>
    <row r="168" ht="15.75" customHeight="1">
      <c r="A168" s="4"/>
      <c r="B168" s="4"/>
      <c r="C168" s="4"/>
      <c r="D168" s="4"/>
      <c r="E168" s="12"/>
      <c r="F168" s="12"/>
      <c r="G168" s="12"/>
      <c r="H168" s="12"/>
      <c r="I168" s="4"/>
      <c r="J168" s="25"/>
    </row>
    <row r="169" ht="15.75" customHeight="1">
      <c r="A169" s="4"/>
      <c r="B169" s="4"/>
      <c r="C169" s="4"/>
      <c r="D169" s="4"/>
      <c r="E169" s="12"/>
      <c r="F169" s="12"/>
      <c r="G169" s="12"/>
      <c r="H169" s="12"/>
      <c r="I169" s="4"/>
      <c r="J169" s="25"/>
    </row>
    <row r="170" ht="15.75" customHeight="1">
      <c r="A170" s="4"/>
      <c r="B170" s="4"/>
      <c r="C170" s="4"/>
      <c r="D170" s="4"/>
      <c r="E170" s="12"/>
      <c r="F170" s="12"/>
      <c r="G170" s="12"/>
      <c r="H170" s="12"/>
      <c r="I170" s="4"/>
      <c r="J170" s="25"/>
    </row>
    <row r="171" ht="15.75" customHeight="1">
      <c r="A171" s="4"/>
      <c r="B171" s="4"/>
      <c r="C171" s="4"/>
      <c r="D171" s="4"/>
      <c r="E171" s="12"/>
      <c r="F171" s="12"/>
      <c r="G171" s="12"/>
      <c r="H171" s="12"/>
      <c r="I171" s="4"/>
      <c r="J171" s="25"/>
    </row>
    <row r="172" ht="15.75" customHeight="1">
      <c r="A172" s="4"/>
      <c r="B172" s="4"/>
      <c r="C172" s="4"/>
      <c r="D172" s="4"/>
      <c r="E172" s="12"/>
      <c r="F172" s="12"/>
      <c r="G172" s="12"/>
      <c r="H172" s="12"/>
      <c r="I172" s="4"/>
      <c r="J172" s="25"/>
    </row>
    <row r="173" ht="15.75" customHeight="1">
      <c r="A173" s="4"/>
      <c r="B173" s="4"/>
      <c r="C173" s="4"/>
      <c r="D173" s="4"/>
      <c r="E173" s="12"/>
      <c r="F173" s="12"/>
      <c r="G173" s="12"/>
      <c r="H173" s="12"/>
      <c r="I173" s="4"/>
      <c r="J173" s="25"/>
    </row>
    <row r="174" ht="15.75" customHeight="1">
      <c r="A174" s="4"/>
      <c r="B174" s="4"/>
      <c r="C174" s="4"/>
      <c r="D174" s="4"/>
      <c r="E174" s="12"/>
      <c r="F174" s="12"/>
      <c r="G174" s="12"/>
      <c r="H174" s="12"/>
      <c r="I174" s="4"/>
      <c r="J174" s="25"/>
    </row>
    <row r="175" ht="15.75" customHeight="1">
      <c r="A175" s="4"/>
      <c r="B175" s="4"/>
      <c r="C175" s="4"/>
      <c r="D175" s="4"/>
      <c r="E175" s="12"/>
      <c r="F175" s="12"/>
      <c r="G175" s="12"/>
      <c r="H175" s="12"/>
      <c r="I175" s="4"/>
      <c r="J175" s="25"/>
    </row>
    <row r="176" ht="15.75" customHeight="1">
      <c r="A176" s="4"/>
      <c r="B176" s="4"/>
      <c r="C176" s="4"/>
      <c r="D176" s="4"/>
      <c r="E176" s="12"/>
      <c r="F176" s="12"/>
      <c r="G176" s="12"/>
      <c r="H176" s="12"/>
      <c r="I176" s="4"/>
      <c r="J176" s="25"/>
    </row>
    <row r="177" ht="15.75" customHeight="1">
      <c r="A177" s="4"/>
      <c r="B177" s="4"/>
      <c r="C177" s="4"/>
      <c r="D177" s="4"/>
      <c r="E177" s="12"/>
      <c r="F177" s="12"/>
      <c r="G177" s="12"/>
      <c r="H177" s="12"/>
      <c r="I177" s="4"/>
      <c r="J177" s="25"/>
    </row>
    <row r="178" ht="15.75" customHeight="1">
      <c r="A178" s="4"/>
      <c r="B178" s="4"/>
      <c r="C178" s="4"/>
      <c r="D178" s="4"/>
      <c r="E178" s="12"/>
      <c r="F178" s="12"/>
      <c r="G178" s="12"/>
      <c r="H178" s="12"/>
      <c r="I178" s="4"/>
      <c r="J178" s="25"/>
    </row>
    <row r="179" ht="15.75" customHeight="1">
      <c r="A179" s="4"/>
      <c r="B179" s="4"/>
      <c r="C179" s="4"/>
      <c r="D179" s="4"/>
      <c r="E179" s="12"/>
      <c r="F179" s="12"/>
      <c r="G179" s="12"/>
      <c r="H179" s="12"/>
      <c r="I179" s="4"/>
      <c r="J179" s="25"/>
    </row>
    <row r="180" ht="15.75" customHeight="1">
      <c r="A180" s="4"/>
      <c r="B180" s="4"/>
      <c r="C180" s="4"/>
      <c r="D180" s="4"/>
      <c r="E180" s="12"/>
      <c r="F180" s="12"/>
      <c r="G180" s="12"/>
      <c r="H180" s="12"/>
      <c r="I180" s="4"/>
      <c r="J180" s="25"/>
    </row>
    <row r="181" ht="15.75" customHeight="1">
      <c r="A181" s="4"/>
      <c r="B181" s="4"/>
      <c r="C181" s="4"/>
      <c r="D181" s="4"/>
      <c r="E181" s="12"/>
      <c r="F181" s="12"/>
      <c r="G181" s="12"/>
      <c r="H181" s="12"/>
      <c r="I181" s="4"/>
      <c r="J181" s="25"/>
    </row>
    <row r="182" ht="15.75" customHeight="1">
      <c r="A182" s="4"/>
      <c r="B182" s="4"/>
      <c r="C182" s="4"/>
      <c r="D182" s="4"/>
      <c r="E182" s="12"/>
      <c r="F182" s="12"/>
      <c r="G182" s="12"/>
      <c r="H182" s="12"/>
      <c r="I182" s="4"/>
      <c r="J182" s="25"/>
    </row>
    <row r="183" ht="15.75" customHeight="1">
      <c r="A183" s="4"/>
      <c r="B183" s="4"/>
      <c r="C183" s="4"/>
      <c r="D183" s="4"/>
      <c r="E183" s="12"/>
      <c r="F183" s="12"/>
      <c r="G183" s="12"/>
      <c r="H183" s="12"/>
      <c r="I183" s="4"/>
      <c r="J183" s="25"/>
    </row>
    <row r="184" ht="15.75" customHeight="1">
      <c r="A184" s="4"/>
      <c r="B184" s="4"/>
      <c r="C184" s="4"/>
      <c r="D184" s="4"/>
      <c r="E184" s="12"/>
      <c r="F184" s="12"/>
      <c r="G184" s="12"/>
      <c r="H184" s="12"/>
      <c r="I184" s="4"/>
      <c r="J184" s="25"/>
    </row>
    <row r="185" ht="15.75" customHeight="1">
      <c r="A185" s="4"/>
      <c r="B185" s="4"/>
      <c r="C185" s="4"/>
      <c r="D185" s="4"/>
      <c r="E185" s="12"/>
      <c r="F185" s="12"/>
      <c r="G185" s="12"/>
      <c r="H185" s="12"/>
      <c r="I185" s="4"/>
      <c r="J185" s="25"/>
    </row>
    <row r="186" ht="15.75" customHeight="1">
      <c r="A186" s="4"/>
      <c r="B186" s="4"/>
      <c r="C186" s="4"/>
      <c r="D186" s="4"/>
      <c r="E186" s="12"/>
      <c r="F186" s="12"/>
      <c r="G186" s="12"/>
      <c r="H186" s="12"/>
      <c r="I186" s="4"/>
      <c r="J186" s="25"/>
    </row>
    <row r="187" ht="15.75" customHeight="1">
      <c r="A187" s="4"/>
      <c r="B187" s="4"/>
      <c r="C187" s="4"/>
      <c r="D187" s="4"/>
      <c r="E187" s="12"/>
      <c r="F187" s="12"/>
      <c r="G187" s="12"/>
      <c r="H187" s="12"/>
      <c r="I187" s="4"/>
      <c r="J187" s="25"/>
    </row>
    <row r="188" ht="15.75" customHeight="1">
      <c r="A188" s="4"/>
      <c r="B188" s="4"/>
      <c r="C188" s="4"/>
      <c r="D188" s="4"/>
      <c r="E188" s="12"/>
      <c r="F188" s="12"/>
      <c r="G188" s="12"/>
      <c r="H188" s="12"/>
      <c r="I188" s="4"/>
      <c r="J188" s="25"/>
    </row>
    <row r="189" ht="15.75" customHeight="1">
      <c r="A189" s="4"/>
      <c r="B189" s="4"/>
      <c r="C189" s="4"/>
      <c r="D189" s="4"/>
      <c r="E189" s="12"/>
      <c r="F189" s="12"/>
      <c r="G189" s="12"/>
      <c r="H189" s="12"/>
      <c r="I189" s="4"/>
      <c r="J189" s="25"/>
    </row>
    <row r="190" ht="15.75" customHeight="1">
      <c r="A190" s="4"/>
      <c r="B190" s="4"/>
      <c r="C190" s="4"/>
      <c r="D190" s="4"/>
      <c r="E190" s="12"/>
      <c r="F190" s="12"/>
      <c r="G190" s="12"/>
      <c r="H190" s="12"/>
      <c r="I190" s="4"/>
      <c r="J190" s="25"/>
    </row>
    <row r="191" ht="15.75" customHeight="1">
      <c r="A191" s="4"/>
      <c r="B191" s="4"/>
      <c r="C191" s="4"/>
      <c r="D191" s="4"/>
      <c r="E191" s="12"/>
      <c r="F191" s="12"/>
      <c r="G191" s="12"/>
      <c r="H191" s="12"/>
      <c r="I191" s="4"/>
      <c r="J191" s="25"/>
    </row>
    <row r="192" ht="15.75" customHeight="1">
      <c r="A192" s="4"/>
      <c r="B192" s="4"/>
      <c r="C192" s="4"/>
      <c r="D192" s="4"/>
      <c r="E192" s="12"/>
      <c r="F192" s="12"/>
      <c r="G192" s="12"/>
      <c r="H192" s="12"/>
      <c r="I192" s="4"/>
      <c r="J192" s="25"/>
    </row>
    <row r="193" ht="15.75" customHeight="1">
      <c r="A193" s="4"/>
      <c r="B193" s="4"/>
      <c r="C193" s="4"/>
      <c r="D193" s="4"/>
      <c r="E193" s="12"/>
      <c r="F193" s="12"/>
      <c r="G193" s="12"/>
      <c r="H193" s="12"/>
      <c r="I193" s="4"/>
      <c r="J193" s="25"/>
    </row>
    <row r="194" ht="15.75" customHeight="1">
      <c r="A194" s="4"/>
      <c r="B194" s="4"/>
      <c r="C194" s="4"/>
      <c r="D194" s="4"/>
      <c r="E194" s="12"/>
      <c r="F194" s="12"/>
      <c r="G194" s="12"/>
      <c r="H194" s="12"/>
      <c r="I194" s="4"/>
      <c r="J194" s="25"/>
    </row>
    <row r="195" ht="15.75" customHeight="1">
      <c r="A195" s="4"/>
      <c r="B195" s="4"/>
      <c r="C195" s="4"/>
      <c r="D195" s="4"/>
      <c r="E195" s="12"/>
      <c r="F195" s="12"/>
      <c r="G195" s="12"/>
      <c r="H195" s="12"/>
      <c r="I195" s="4"/>
      <c r="J195" s="25"/>
    </row>
    <row r="196" ht="15.75" customHeight="1">
      <c r="A196" s="4"/>
      <c r="B196" s="4"/>
      <c r="C196" s="4"/>
      <c r="D196" s="4"/>
      <c r="E196" s="12"/>
      <c r="F196" s="12"/>
      <c r="G196" s="12"/>
      <c r="H196" s="12"/>
      <c r="I196" s="4"/>
      <c r="J196" s="25"/>
    </row>
    <row r="197" ht="15.75" customHeight="1">
      <c r="A197" s="4"/>
      <c r="B197" s="4"/>
      <c r="C197" s="4"/>
      <c r="D197" s="4"/>
      <c r="E197" s="12"/>
      <c r="F197" s="12"/>
      <c r="G197" s="12"/>
      <c r="H197" s="12"/>
      <c r="I197" s="4"/>
      <c r="J197" s="25"/>
    </row>
    <row r="198" ht="15.75" customHeight="1">
      <c r="A198" s="4"/>
      <c r="B198" s="4"/>
      <c r="C198" s="4"/>
      <c r="D198" s="4"/>
      <c r="E198" s="12"/>
      <c r="F198" s="12"/>
      <c r="G198" s="12"/>
      <c r="H198" s="12"/>
      <c r="I198" s="4"/>
      <c r="J198" s="25"/>
    </row>
    <row r="199" ht="15.75" customHeight="1">
      <c r="A199" s="4"/>
      <c r="B199" s="4"/>
      <c r="C199" s="4"/>
      <c r="D199" s="4"/>
      <c r="E199" s="12"/>
      <c r="F199" s="12"/>
      <c r="G199" s="12"/>
      <c r="H199" s="12"/>
      <c r="I199" s="4"/>
      <c r="J199" s="25"/>
    </row>
    <row r="200" ht="15.75" customHeight="1">
      <c r="A200" s="4"/>
      <c r="B200" s="4"/>
      <c r="C200" s="4"/>
      <c r="D200" s="4"/>
      <c r="E200" s="12"/>
      <c r="F200" s="12"/>
      <c r="G200" s="12"/>
      <c r="H200" s="12"/>
      <c r="I200" s="4"/>
      <c r="J200" s="25"/>
    </row>
    <row r="201" ht="15.75" customHeight="1">
      <c r="A201" s="4"/>
      <c r="B201" s="4"/>
      <c r="C201" s="4"/>
      <c r="D201" s="4"/>
      <c r="E201" s="12"/>
      <c r="F201" s="12"/>
      <c r="G201" s="12"/>
      <c r="H201" s="12"/>
      <c r="I201" s="4"/>
      <c r="J201" s="25"/>
    </row>
    <row r="202" ht="15.75" customHeight="1">
      <c r="A202" s="4"/>
      <c r="B202" s="4"/>
      <c r="C202" s="4"/>
      <c r="D202" s="4"/>
      <c r="E202" s="12"/>
      <c r="F202" s="12"/>
      <c r="G202" s="12"/>
      <c r="H202" s="12"/>
      <c r="I202" s="4"/>
      <c r="J202" s="25"/>
    </row>
    <row r="203" ht="15.75" customHeight="1">
      <c r="A203" s="4"/>
      <c r="B203" s="4"/>
      <c r="C203" s="4"/>
      <c r="D203" s="4"/>
      <c r="E203" s="12"/>
      <c r="F203" s="12"/>
      <c r="G203" s="12"/>
      <c r="H203" s="12"/>
      <c r="I203" s="4"/>
      <c r="J203" s="25"/>
    </row>
    <row r="204" ht="15.75" customHeight="1">
      <c r="A204" s="4"/>
      <c r="B204" s="4"/>
      <c r="C204" s="4"/>
      <c r="D204" s="4"/>
      <c r="E204" s="12"/>
      <c r="F204" s="12"/>
      <c r="G204" s="12"/>
      <c r="H204" s="12"/>
      <c r="I204" s="4"/>
      <c r="J204" s="25"/>
    </row>
    <row r="205" ht="15.75" customHeight="1">
      <c r="A205" s="4"/>
      <c r="B205" s="4"/>
      <c r="C205" s="4"/>
      <c r="D205" s="4"/>
      <c r="E205" s="12"/>
      <c r="F205" s="12"/>
      <c r="G205" s="12"/>
      <c r="H205" s="12"/>
      <c r="I205" s="4"/>
      <c r="J205" s="25"/>
    </row>
    <row r="206" ht="15.75" customHeight="1">
      <c r="A206" s="4"/>
      <c r="B206" s="4"/>
      <c r="C206" s="4"/>
      <c r="D206" s="4"/>
      <c r="E206" s="12"/>
      <c r="F206" s="12"/>
      <c r="G206" s="12"/>
      <c r="H206" s="12"/>
      <c r="I206" s="4"/>
      <c r="J206" s="25"/>
    </row>
    <row r="207" ht="15.75" customHeight="1">
      <c r="A207" s="4"/>
      <c r="B207" s="4"/>
      <c r="C207" s="4"/>
      <c r="D207" s="4"/>
      <c r="E207" s="12"/>
      <c r="F207" s="12"/>
      <c r="G207" s="12"/>
      <c r="H207" s="12"/>
      <c r="I207" s="4"/>
      <c r="J207" s="25"/>
    </row>
    <row r="208" ht="15.75" customHeight="1">
      <c r="A208" s="4"/>
      <c r="B208" s="4"/>
      <c r="C208" s="4"/>
      <c r="D208" s="4"/>
      <c r="E208" s="12"/>
      <c r="F208" s="12"/>
      <c r="G208" s="12"/>
      <c r="H208" s="12"/>
      <c r="I208" s="4"/>
      <c r="J208" s="25"/>
    </row>
    <row r="209" ht="15.75" customHeight="1">
      <c r="A209" s="4"/>
      <c r="B209" s="4"/>
      <c r="C209" s="4"/>
      <c r="D209" s="4"/>
      <c r="E209" s="12"/>
      <c r="F209" s="12"/>
      <c r="G209" s="12"/>
      <c r="H209" s="12"/>
      <c r="I209" s="4"/>
      <c r="J209" s="25"/>
    </row>
    <row r="210" ht="15.75" customHeight="1">
      <c r="A210" s="4"/>
      <c r="B210" s="4"/>
      <c r="C210" s="4"/>
      <c r="D210" s="4"/>
      <c r="E210" s="12"/>
      <c r="F210" s="12"/>
      <c r="G210" s="12"/>
      <c r="H210" s="12"/>
      <c r="I210" s="4"/>
      <c r="J210" s="25"/>
    </row>
    <row r="211" ht="15.75" customHeight="1">
      <c r="A211" s="4"/>
      <c r="B211" s="4"/>
      <c r="C211" s="4"/>
      <c r="D211" s="4"/>
      <c r="E211" s="12"/>
      <c r="F211" s="12"/>
      <c r="G211" s="12"/>
      <c r="H211" s="12"/>
      <c r="I211" s="4"/>
      <c r="J211" s="25"/>
    </row>
    <row r="212" ht="15.75" customHeight="1">
      <c r="A212" s="4"/>
      <c r="B212" s="4"/>
      <c r="C212" s="4"/>
      <c r="D212" s="4"/>
      <c r="E212" s="12"/>
      <c r="F212" s="12"/>
      <c r="G212" s="12"/>
      <c r="H212" s="12"/>
      <c r="I212" s="4"/>
      <c r="J212" s="25"/>
    </row>
    <row r="213" ht="15.75" customHeight="1">
      <c r="A213" s="4"/>
      <c r="B213" s="4"/>
      <c r="C213" s="4"/>
      <c r="D213" s="4"/>
      <c r="E213" s="12"/>
      <c r="F213" s="12"/>
      <c r="G213" s="12"/>
      <c r="H213" s="12"/>
      <c r="I213" s="4"/>
      <c r="J213" s="25"/>
    </row>
    <row r="214" ht="15.75" customHeight="1">
      <c r="A214" s="4"/>
      <c r="B214" s="4"/>
      <c r="C214" s="4"/>
      <c r="D214" s="4"/>
      <c r="E214" s="12"/>
      <c r="F214" s="12"/>
      <c r="G214" s="12"/>
      <c r="H214" s="12"/>
      <c r="I214" s="4"/>
      <c r="J214" s="25"/>
    </row>
    <row r="215" ht="15.75" customHeight="1">
      <c r="A215" s="4"/>
      <c r="B215" s="4"/>
      <c r="C215" s="4"/>
      <c r="D215" s="4"/>
      <c r="E215" s="12"/>
      <c r="F215" s="12"/>
      <c r="G215" s="12"/>
      <c r="H215" s="12"/>
      <c r="I215" s="4"/>
      <c r="J215" s="25"/>
    </row>
    <row r="216" ht="15.75" customHeight="1">
      <c r="A216" s="4"/>
      <c r="B216" s="4"/>
      <c r="C216" s="4"/>
      <c r="D216" s="4"/>
      <c r="E216" s="12"/>
      <c r="F216" s="12"/>
      <c r="G216" s="12"/>
      <c r="H216" s="12"/>
      <c r="I216" s="4"/>
      <c r="J216" s="25"/>
    </row>
    <row r="217" ht="15.75" customHeight="1">
      <c r="A217" s="4"/>
      <c r="B217" s="4"/>
      <c r="C217" s="4"/>
      <c r="D217" s="4"/>
      <c r="E217" s="12"/>
      <c r="F217" s="12"/>
      <c r="G217" s="12"/>
      <c r="H217" s="12"/>
      <c r="I217" s="4"/>
      <c r="J217" s="25"/>
    </row>
    <row r="218" ht="15.75" customHeight="1">
      <c r="A218" s="4"/>
      <c r="B218" s="4"/>
      <c r="C218" s="4"/>
      <c r="D218" s="4"/>
      <c r="E218" s="12"/>
      <c r="F218" s="12"/>
      <c r="G218" s="12"/>
      <c r="H218" s="12"/>
      <c r="I218" s="4"/>
      <c r="J218" s="25"/>
    </row>
    <row r="219" ht="15.75" customHeight="1">
      <c r="A219" s="4"/>
      <c r="B219" s="4"/>
      <c r="C219" s="4"/>
      <c r="D219" s="4"/>
      <c r="E219" s="12"/>
      <c r="F219" s="12"/>
      <c r="G219" s="12"/>
      <c r="H219" s="12"/>
      <c r="I219" s="4"/>
      <c r="J219" s="25"/>
    </row>
    <row r="220" ht="15.75" customHeight="1">
      <c r="A220" s="4"/>
      <c r="B220" s="4"/>
      <c r="C220" s="4"/>
      <c r="D220" s="4"/>
      <c r="E220" s="12"/>
      <c r="F220" s="12"/>
      <c r="G220" s="12"/>
      <c r="H220" s="12"/>
      <c r="I220" s="4"/>
      <c r="J220" s="25"/>
    </row>
    <row r="221" ht="15.75" customHeight="1">
      <c r="A221" s="4"/>
      <c r="B221" s="4"/>
      <c r="C221" s="4"/>
      <c r="D221" s="4"/>
      <c r="E221" s="12"/>
      <c r="F221" s="12"/>
      <c r="G221" s="12"/>
      <c r="H221" s="12"/>
      <c r="I221" s="4"/>
      <c r="J221" s="25"/>
    </row>
    <row r="222" ht="15.75" customHeight="1">
      <c r="A222" s="4"/>
      <c r="B222" s="4"/>
      <c r="C222" s="4"/>
      <c r="D222" s="4"/>
      <c r="E222" s="12"/>
      <c r="F222" s="12"/>
      <c r="G222" s="12"/>
      <c r="H222" s="12"/>
      <c r="I222" s="4"/>
      <c r="J222" s="25"/>
    </row>
    <row r="223" ht="15.75" customHeight="1">
      <c r="A223" s="4"/>
      <c r="B223" s="4"/>
      <c r="C223" s="4"/>
      <c r="D223" s="4"/>
      <c r="E223" s="12"/>
      <c r="F223" s="12"/>
      <c r="G223" s="12"/>
      <c r="H223" s="12"/>
      <c r="I223" s="4"/>
      <c r="J223" s="25"/>
    </row>
    <row r="224" ht="15.75" customHeight="1">
      <c r="A224" s="4"/>
      <c r="B224" s="4"/>
      <c r="C224" s="4"/>
      <c r="D224" s="4"/>
      <c r="E224" s="12"/>
      <c r="F224" s="12"/>
      <c r="G224" s="12"/>
      <c r="H224" s="12"/>
      <c r="I224" s="4"/>
      <c r="J224" s="25"/>
    </row>
    <row r="225" ht="15.75" customHeight="1">
      <c r="A225" s="4"/>
      <c r="B225" s="4"/>
      <c r="C225" s="4"/>
      <c r="D225" s="4"/>
      <c r="E225" s="12"/>
      <c r="F225" s="12"/>
      <c r="G225" s="12"/>
      <c r="H225" s="12"/>
      <c r="I225" s="4"/>
      <c r="J225" s="25"/>
    </row>
    <row r="226" ht="15.75" customHeight="1">
      <c r="A226" s="4"/>
      <c r="B226" s="4"/>
      <c r="C226" s="4"/>
      <c r="D226" s="4"/>
      <c r="E226" s="12"/>
      <c r="F226" s="12"/>
      <c r="G226" s="12"/>
      <c r="H226" s="12"/>
      <c r="I226" s="4"/>
      <c r="J226" s="25"/>
    </row>
    <row r="227" ht="15.75" customHeight="1">
      <c r="A227" s="4"/>
      <c r="B227" s="4"/>
      <c r="C227" s="4"/>
      <c r="D227" s="4"/>
      <c r="E227" s="12"/>
      <c r="F227" s="12"/>
      <c r="G227" s="12"/>
      <c r="H227" s="12"/>
      <c r="I227" s="4"/>
      <c r="J227" s="25"/>
    </row>
    <row r="228" ht="15.75" customHeight="1">
      <c r="A228" s="4"/>
      <c r="B228" s="4"/>
      <c r="C228" s="4"/>
      <c r="D228" s="4"/>
      <c r="E228" s="12"/>
      <c r="F228" s="12"/>
      <c r="G228" s="12"/>
      <c r="H228" s="12"/>
      <c r="I228" s="4"/>
      <c r="J228" s="25"/>
    </row>
    <row r="229" ht="15.75" customHeight="1">
      <c r="A229" s="4"/>
      <c r="B229" s="4"/>
      <c r="C229" s="4"/>
      <c r="D229" s="4"/>
      <c r="E229" s="12"/>
      <c r="F229" s="12"/>
      <c r="G229" s="12"/>
      <c r="H229" s="12"/>
      <c r="I229" s="4"/>
      <c r="J229" s="25"/>
    </row>
    <row r="230" ht="15.75" customHeight="1">
      <c r="A230" s="4"/>
      <c r="B230" s="4"/>
      <c r="C230" s="4"/>
      <c r="D230" s="4"/>
      <c r="E230" s="12"/>
      <c r="F230" s="12"/>
      <c r="G230" s="12"/>
      <c r="H230" s="12"/>
      <c r="I230" s="4"/>
      <c r="J230" s="25"/>
    </row>
    <row r="231" ht="15.75" customHeight="1">
      <c r="A231" s="4"/>
      <c r="B231" s="4"/>
      <c r="C231" s="4"/>
      <c r="D231" s="4"/>
      <c r="E231" s="12"/>
      <c r="F231" s="12"/>
      <c r="G231" s="12"/>
      <c r="H231" s="12"/>
      <c r="I231" s="4"/>
      <c r="J231" s="25"/>
    </row>
    <row r="232" ht="15.75" customHeight="1">
      <c r="A232" s="4"/>
      <c r="B232" s="4"/>
      <c r="C232" s="4"/>
      <c r="D232" s="4"/>
      <c r="E232" s="12"/>
      <c r="F232" s="12"/>
      <c r="G232" s="12"/>
      <c r="H232" s="12"/>
      <c r="I232" s="4"/>
      <c r="J232" s="25"/>
    </row>
    <row r="233" ht="15.75" customHeight="1">
      <c r="A233" s="4"/>
      <c r="B233" s="4"/>
      <c r="C233" s="4"/>
      <c r="D233" s="4"/>
      <c r="E233" s="12"/>
      <c r="F233" s="12"/>
      <c r="G233" s="12"/>
      <c r="H233" s="12"/>
      <c r="I233" s="4"/>
      <c r="J233" s="25"/>
    </row>
    <row r="234" ht="15.75" customHeight="1">
      <c r="A234" s="4"/>
      <c r="B234" s="4"/>
      <c r="C234" s="4"/>
      <c r="D234" s="4"/>
      <c r="E234" s="12"/>
      <c r="F234" s="12"/>
      <c r="G234" s="12"/>
      <c r="H234" s="12"/>
      <c r="I234" s="4"/>
      <c r="J234" s="25"/>
    </row>
    <row r="235" ht="15.75" customHeight="1">
      <c r="A235" s="4"/>
      <c r="B235" s="4"/>
      <c r="C235" s="4"/>
      <c r="D235" s="4"/>
      <c r="E235" s="12"/>
      <c r="F235" s="12"/>
      <c r="G235" s="12"/>
      <c r="H235" s="12"/>
      <c r="I235" s="4"/>
      <c r="J235" s="25"/>
    </row>
    <row r="236" ht="15.75" customHeight="1">
      <c r="A236" s="4"/>
      <c r="B236" s="4"/>
      <c r="C236" s="4"/>
      <c r="D236" s="4"/>
      <c r="E236" s="12"/>
      <c r="F236" s="12"/>
      <c r="G236" s="12"/>
      <c r="H236" s="12"/>
      <c r="I236" s="4"/>
      <c r="J236" s="25"/>
    </row>
    <row r="237" ht="15.75" customHeight="1">
      <c r="A237" s="4"/>
      <c r="B237" s="4"/>
      <c r="C237" s="4"/>
      <c r="D237" s="4"/>
      <c r="E237" s="12"/>
      <c r="F237" s="12"/>
      <c r="G237" s="12"/>
      <c r="H237" s="12"/>
      <c r="I237" s="4"/>
      <c r="J237" s="25"/>
    </row>
    <row r="238" ht="15.75" customHeight="1">
      <c r="A238" s="4"/>
      <c r="B238" s="4"/>
      <c r="C238" s="4"/>
      <c r="D238" s="4"/>
      <c r="E238" s="12"/>
      <c r="F238" s="12"/>
      <c r="G238" s="12"/>
      <c r="H238" s="12"/>
      <c r="I238" s="4"/>
      <c r="J238" s="25"/>
    </row>
    <row r="239" ht="15.75" customHeight="1">
      <c r="A239" s="4"/>
      <c r="B239" s="4"/>
      <c r="C239" s="4"/>
      <c r="D239" s="4"/>
      <c r="E239" s="12"/>
      <c r="F239" s="12"/>
      <c r="G239" s="12"/>
      <c r="H239" s="12"/>
      <c r="I239" s="4"/>
      <c r="J239" s="25"/>
    </row>
    <row r="240" ht="15.75" customHeight="1">
      <c r="A240" s="4"/>
      <c r="B240" s="4"/>
      <c r="C240" s="4"/>
      <c r="D240" s="4"/>
      <c r="E240" s="12"/>
      <c r="F240" s="12"/>
      <c r="G240" s="12"/>
      <c r="H240" s="12"/>
      <c r="I240" s="4"/>
      <c r="J240" s="25"/>
    </row>
    <row r="241" ht="15.75" customHeight="1">
      <c r="A241" s="4"/>
      <c r="B241" s="4"/>
      <c r="C241" s="4"/>
      <c r="D241" s="4"/>
      <c r="E241" s="12"/>
      <c r="F241" s="12"/>
      <c r="G241" s="12"/>
      <c r="H241" s="12"/>
      <c r="I241" s="4"/>
      <c r="J241" s="25"/>
    </row>
    <row r="242" ht="15.75" customHeight="1">
      <c r="A242" s="4"/>
      <c r="B242" s="4"/>
      <c r="C242" s="4"/>
      <c r="D242" s="4"/>
      <c r="E242" s="12"/>
      <c r="F242" s="12"/>
      <c r="G242" s="12"/>
      <c r="H242" s="12"/>
      <c r="I242" s="4"/>
      <c r="J242" s="25"/>
    </row>
    <row r="243" ht="15.75" customHeight="1">
      <c r="A243" s="4"/>
      <c r="B243" s="4"/>
      <c r="C243" s="4"/>
      <c r="D243" s="4"/>
      <c r="E243" s="12"/>
      <c r="F243" s="12"/>
      <c r="G243" s="12"/>
      <c r="H243" s="12"/>
      <c r="I243" s="4"/>
      <c r="J243" s="25"/>
    </row>
    <row r="244" ht="15.75" customHeight="1">
      <c r="A244" s="4"/>
      <c r="B244" s="4"/>
      <c r="C244" s="4"/>
      <c r="D244" s="4"/>
      <c r="E244" s="12"/>
      <c r="F244" s="12"/>
      <c r="G244" s="12"/>
      <c r="H244" s="12"/>
      <c r="I244" s="4"/>
      <c r="J244" s="25"/>
    </row>
    <row r="245" ht="15.75" customHeight="1">
      <c r="A245" s="4"/>
      <c r="B245" s="4"/>
      <c r="C245" s="4"/>
      <c r="D245" s="4"/>
      <c r="E245" s="12"/>
      <c r="F245" s="12"/>
      <c r="G245" s="12"/>
      <c r="H245" s="12"/>
      <c r="I245" s="4"/>
      <c r="J245" s="25"/>
    </row>
    <row r="246" ht="15.75" customHeight="1">
      <c r="A246" s="4"/>
      <c r="B246" s="4"/>
      <c r="C246" s="4"/>
      <c r="D246" s="4"/>
      <c r="E246" s="12"/>
      <c r="F246" s="12"/>
      <c r="G246" s="12"/>
      <c r="H246" s="12"/>
      <c r="I246" s="4"/>
      <c r="J246" s="25"/>
    </row>
    <row r="247" ht="15.75" customHeight="1">
      <c r="A247" s="4"/>
      <c r="B247" s="4"/>
      <c r="C247" s="4"/>
      <c r="D247" s="4"/>
      <c r="E247" s="12"/>
      <c r="F247" s="12"/>
      <c r="G247" s="12"/>
      <c r="H247" s="12"/>
      <c r="I247" s="4"/>
      <c r="J247" s="25"/>
    </row>
    <row r="248" ht="15.75" customHeight="1">
      <c r="A248" s="4"/>
      <c r="B248" s="4"/>
      <c r="C248" s="4"/>
      <c r="D248" s="4"/>
      <c r="E248" s="12"/>
      <c r="F248" s="12"/>
      <c r="G248" s="12"/>
      <c r="H248" s="12"/>
      <c r="I248" s="4"/>
      <c r="J248" s="25"/>
    </row>
    <row r="249" ht="15.75" customHeight="1">
      <c r="A249" s="4"/>
      <c r="B249" s="4"/>
      <c r="C249" s="4"/>
      <c r="D249" s="4"/>
      <c r="E249" s="12"/>
      <c r="F249" s="12"/>
      <c r="G249" s="12"/>
      <c r="H249" s="12"/>
      <c r="I249" s="4"/>
      <c r="J249" s="25"/>
    </row>
    <row r="250" ht="15.75" customHeight="1">
      <c r="A250" s="4"/>
      <c r="B250" s="4"/>
      <c r="C250" s="4"/>
      <c r="D250" s="4"/>
      <c r="E250" s="12"/>
      <c r="F250" s="12"/>
      <c r="G250" s="12"/>
      <c r="H250" s="12"/>
      <c r="I250" s="4"/>
      <c r="J250" s="25"/>
    </row>
    <row r="251" ht="15.75" customHeight="1">
      <c r="A251" s="4"/>
      <c r="B251" s="4"/>
      <c r="C251" s="4"/>
      <c r="D251" s="4"/>
      <c r="E251" s="12"/>
      <c r="F251" s="12"/>
      <c r="G251" s="12"/>
      <c r="H251" s="12"/>
      <c r="I251" s="4"/>
      <c r="J251" s="25"/>
    </row>
    <row r="252" ht="15.75" customHeight="1">
      <c r="A252" s="4"/>
      <c r="B252" s="4"/>
      <c r="C252" s="4"/>
      <c r="D252" s="4"/>
      <c r="E252" s="12"/>
      <c r="F252" s="12"/>
      <c r="G252" s="12"/>
      <c r="H252" s="12"/>
      <c r="I252" s="4"/>
      <c r="J252" s="25"/>
    </row>
    <row r="253" ht="15.75" customHeight="1">
      <c r="A253" s="4"/>
      <c r="B253" s="4"/>
      <c r="C253" s="4"/>
      <c r="D253" s="4"/>
      <c r="E253" s="12"/>
      <c r="F253" s="12"/>
      <c r="G253" s="12"/>
      <c r="H253" s="12"/>
      <c r="I253" s="4"/>
      <c r="J253" s="25"/>
    </row>
    <row r="254" ht="15.75" customHeight="1">
      <c r="A254" s="4"/>
      <c r="B254" s="4"/>
      <c r="C254" s="4"/>
      <c r="D254" s="4"/>
      <c r="E254" s="12"/>
      <c r="F254" s="12"/>
      <c r="G254" s="12"/>
      <c r="H254" s="12"/>
      <c r="I254" s="4"/>
      <c r="J254" s="25"/>
    </row>
    <row r="255" ht="15.75" customHeight="1">
      <c r="A255" s="4"/>
      <c r="B255" s="4"/>
      <c r="C255" s="4"/>
      <c r="D255" s="4"/>
      <c r="E255" s="12"/>
      <c r="F255" s="12"/>
      <c r="G255" s="12"/>
      <c r="H255" s="12"/>
      <c r="I255" s="4"/>
      <c r="J255" s="25"/>
    </row>
    <row r="256" ht="15.75" customHeight="1">
      <c r="A256" s="4"/>
      <c r="B256" s="4"/>
      <c r="C256" s="4"/>
      <c r="D256" s="4"/>
      <c r="E256" s="12"/>
      <c r="F256" s="12"/>
      <c r="G256" s="12"/>
      <c r="H256" s="12"/>
      <c r="I256" s="4"/>
      <c r="J256" s="25"/>
    </row>
    <row r="257" ht="15.75" customHeight="1">
      <c r="A257" s="4"/>
      <c r="B257" s="4"/>
      <c r="C257" s="4"/>
      <c r="D257" s="4"/>
      <c r="E257" s="12"/>
      <c r="F257" s="12"/>
      <c r="G257" s="12"/>
      <c r="H257" s="12"/>
      <c r="I257" s="4"/>
      <c r="J257" s="25"/>
    </row>
    <row r="258" ht="15.75" customHeight="1">
      <c r="A258" s="4"/>
      <c r="B258" s="4"/>
      <c r="C258" s="4"/>
      <c r="D258" s="4"/>
      <c r="E258" s="12"/>
      <c r="F258" s="12"/>
      <c r="G258" s="12"/>
      <c r="H258" s="12"/>
      <c r="I258" s="4"/>
      <c r="J258" s="25"/>
    </row>
    <row r="259" ht="15.75" customHeight="1">
      <c r="A259" s="4"/>
      <c r="B259" s="4"/>
      <c r="C259" s="4"/>
      <c r="D259" s="4"/>
      <c r="E259" s="12"/>
      <c r="F259" s="12"/>
      <c r="G259" s="12"/>
      <c r="H259" s="12"/>
      <c r="I259" s="4"/>
      <c r="J259" s="25"/>
    </row>
    <row r="260" ht="15.75" customHeight="1">
      <c r="A260" s="4"/>
      <c r="B260" s="4"/>
      <c r="C260" s="4"/>
      <c r="D260" s="4"/>
      <c r="E260" s="12"/>
      <c r="F260" s="12"/>
      <c r="G260" s="12"/>
      <c r="H260" s="12"/>
      <c r="I260" s="4"/>
      <c r="J260" s="25"/>
    </row>
    <row r="261" ht="15.75" customHeight="1">
      <c r="A261" s="4"/>
      <c r="B261" s="4"/>
      <c r="C261" s="4"/>
      <c r="D261" s="4"/>
      <c r="E261" s="12"/>
      <c r="F261" s="12"/>
      <c r="G261" s="12"/>
      <c r="H261" s="12"/>
      <c r="I261" s="4"/>
      <c r="J261" s="25"/>
    </row>
    <row r="262" ht="15.75" customHeight="1">
      <c r="A262" s="4"/>
      <c r="B262" s="4"/>
      <c r="C262" s="4"/>
      <c r="D262" s="4"/>
      <c r="E262" s="12"/>
      <c r="F262" s="12"/>
      <c r="G262" s="12"/>
      <c r="H262" s="12"/>
      <c r="I262" s="4"/>
      <c r="J262" s="25"/>
    </row>
    <row r="263" ht="15.75" customHeight="1">
      <c r="A263" s="4"/>
      <c r="B263" s="4"/>
      <c r="C263" s="4"/>
      <c r="D263" s="4"/>
      <c r="E263" s="12"/>
      <c r="F263" s="12"/>
      <c r="G263" s="12"/>
      <c r="H263" s="12"/>
      <c r="I263" s="4"/>
      <c r="J263" s="25"/>
    </row>
    <row r="264" ht="15.75" customHeight="1">
      <c r="A264" s="4"/>
      <c r="B264" s="4"/>
      <c r="C264" s="4"/>
      <c r="D264" s="4"/>
      <c r="E264" s="12"/>
      <c r="F264" s="12"/>
      <c r="G264" s="12"/>
      <c r="H264" s="12"/>
      <c r="I264" s="4"/>
      <c r="J264" s="25"/>
    </row>
    <row r="265" ht="15.75" customHeight="1">
      <c r="A265" s="4"/>
      <c r="B265" s="4"/>
      <c r="C265" s="4"/>
      <c r="D265" s="4"/>
      <c r="E265" s="12"/>
      <c r="F265" s="12"/>
      <c r="G265" s="12"/>
      <c r="H265" s="12"/>
      <c r="I265" s="4"/>
      <c r="J265" s="25"/>
    </row>
    <row r="266" ht="15.75" customHeight="1">
      <c r="A266" s="4"/>
      <c r="B266" s="4"/>
      <c r="C266" s="4"/>
      <c r="D266" s="4"/>
      <c r="E266" s="12"/>
      <c r="F266" s="12"/>
      <c r="G266" s="12"/>
      <c r="H266" s="12"/>
      <c r="I266" s="4"/>
      <c r="J266" s="25"/>
    </row>
    <row r="267" ht="15.75" customHeight="1">
      <c r="A267" s="4"/>
      <c r="B267" s="4"/>
      <c r="C267" s="4"/>
      <c r="D267" s="4"/>
      <c r="E267" s="12"/>
      <c r="F267" s="12"/>
      <c r="G267" s="12"/>
      <c r="H267" s="12"/>
      <c r="I267" s="4"/>
      <c r="J267" s="25"/>
    </row>
    <row r="268" ht="15.75" customHeight="1">
      <c r="A268" s="4"/>
      <c r="B268" s="4"/>
      <c r="C268" s="4"/>
      <c r="D268" s="4"/>
      <c r="E268" s="12"/>
      <c r="F268" s="12"/>
      <c r="G268" s="12"/>
      <c r="H268" s="12"/>
      <c r="I268" s="4"/>
      <c r="J268" s="25"/>
    </row>
    <row r="269" ht="15.75" customHeight="1">
      <c r="A269" s="4"/>
      <c r="B269" s="4"/>
      <c r="C269" s="4"/>
      <c r="D269" s="4"/>
      <c r="E269" s="12"/>
      <c r="F269" s="12"/>
      <c r="G269" s="12"/>
      <c r="H269" s="12"/>
      <c r="I269" s="4"/>
      <c r="J269" s="25"/>
    </row>
    <row r="270" ht="15.75" customHeight="1">
      <c r="A270" s="4"/>
      <c r="B270" s="4"/>
      <c r="C270" s="4"/>
      <c r="D270" s="4"/>
      <c r="E270" s="12"/>
      <c r="F270" s="12"/>
      <c r="G270" s="12"/>
      <c r="H270" s="12"/>
      <c r="I270" s="4"/>
      <c r="J270" s="25"/>
    </row>
    <row r="271" ht="15.75" customHeight="1">
      <c r="A271" s="4"/>
      <c r="B271" s="4"/>
      <c r="C271" s="4"/>
      <c r="D271" s="4"/>
      <c r="E271" s="12"/>
      <c r="F271" s="12"/>
      <c r="G271" s="12"/>
      <c r="H271" s="12"/>
      <c r="I271" s="4"/>
      <c r="J271" s="25"/>
    </row>
    <row r="272" ht="15.75" customHeight="1">
      <c r="A272" s="4"/>
      <c r="B272" s="4"/>
      <c r="C272" s="4"/>
      <c r="D272" s="4"/>
      <c r="E272" s="12"/>
      <c r="F272" s="12"/>
      <c r="G272" s="12"/>
      <c r="H272" s="12"/>
      <c r="I272" s="4"/>
      <c r="J272" s="25"/>
    </row>
    <row r="273" ht="15.75" customHeight="1">
      <c r="A273" s="4"/>
      <c r="B273" s="4"/>
      <c r="C273" s="4"/>
      <c r="D273" s="4"/>
      <c r="E273" s="12"/>
      <c r="F273" s="12"/>
      <c r="G273" s="12"/>
      <c r="H273" s="12"/>
      <c r="I273" s="4"/>
      <c r="J273" s="25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15.0"/>
    <col customWidth="1" min="4" max="4" width="13.0"/>
    <col customWidth="1" min="5" max="5" width="15.0"/>
    <col customWidth="1" min="6" max="6" width="14.0"/>
    <col customWidth="1" min="7" max="8" width="13.0"/>
    <col customWidth="1" min="9" max="9" width="16.0"/>
    <col customWidth="1" min="10" max="10" width="13.0"/>
    <col customWidth="1" min="11" max="11" width="15.0"/>
    <col customWidth="1" min="12" max="26" width="8.71"/>
  </cols>
  <sheetData>
    <row r="1" ht="27.75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27" t="s">
        <v>193</v>
      </c>
      <c r="B2" s="27" t="s">
        <v>17</v>
      </c>
      <c r="C2" s="27" t="s">
        <v>195</v>
      </c>
      <c r="D2" s="27" t="s">
        <v>339</v>
      </c>
      <c r="E2" s="27" t="s">
        <v>340</v>
      </c>
      <c r="F2" s="27" t="s">
        <v>341</v>
      </c>
      <c r="G2" s="27" t="s">
        <v>342</v>
      </c>
      <c r="H2" s="27" t="s">
        <v>205</v>
      </c>
      <c r="I2" s="27" t="s">
        <v>6</v>
      </c>
      <c r="J2" s="27" t="s">
        <v>343</v>
      </c>
      <c r="K2" s="27" t="s">
        <v>206</v>
      </c>
    </row>
    <row r="3">
      <c r="A3" s="19" t="s">
        <v>207</v>
      </c>
      <c r="B3" s="19" t="s">
        <v>19</v>
      </c>
      <c r="C3" s="19" t="s">
        <v>209</v>
      </c>
      <c r="D3" s="19">
        <v>35.0</v>
      </c>
      <c r="E3" s="19">
        <f>SUMIF(Compras!$D:$D,A3,Compras!$F:$F)</f>
        <v>90</v>
      </c>
      <c r="F3" s="19">
        <f>SUMIF(Detalle_Pedidos!$B:$B,A3,Detalle_Pedidos!$D:$D)</f>
        <v>32</v>
      </c>
      <c r="G3" s="19">
        <f t="shared" ref="G3:G16" si="1">D3+E3-F3</f>
        <v>93</v>
      </c>
      <c r="H3" s="19">
        <f>VLOOKUP(A3,Productos!$A:$P,14,FALSE)</f>
        <v>20</v>
      </c>
      <c r="I3" s="22">
        <f>G3*VLOOKUP(A3,Productos!$A:$P,9,FALSE)</f>
        <v>183210</v>
      </c>
      <c r="J3" s="19" t="str">
        <f t="shared" ref="J3:J16" si="2">IF(G3&lt;=0,"SIN STOCK",IF(G3&lt;H3,"BAJO","OK"))</f>
        <v>OK</v>
      </c>
      <c r="K3" s="19" t="str">
        <f>VLOOKUP(A3,Productos!$A:$P,15,FALSE)</f>
        <v>Bodega A</v>
      </c>
    </row>
    <row r="4">
      <c r="A4" s="19" t="s">
        <v>213</v>
      </c>
      <c r="B4" s="19" t="s">
        <v>21</v>
      </c>
      <c r="C4" s="19" t="s">
        <v>209</v>
      </c>
      <c r="D4" s="19">
        <v>18.0</v>
      </c>
      <c r="E4" s="19">
        <f>SUMIF(Compras!$D:$D,A4,Compras!$F:$F)</f>
        <v>0</v>
      </c>
      <c r="F4" s="19">
        <f>SUMIF(Detalle_Pedidos!$B:$B,A4,Detalle_Pedidos!$D:$D)</f>
        <v>131</v>
      </c>
      <c r="G4" s="19">
        <f t="shared" si="1"/>
        <v>-113</v>
      </c>
      <c r="H4" s="19">
        <f>VLOOKUP(A4,Productos!$A:$P,14,FALSE)</f>
        <v>15</v>
      </c>
      <c r="I4" s="22">
        <f>G4*VLOOKUP(A4,Productos!$A:$P,9,FALSE)</f>
        <v>-632800</v>
      </c>
      <c r="J4" s="19" t="str">
        <f t="shared" si="2"/>
        <v>SIN STOCK</v>
      </c>
      <c r="K4" s="19" t="str">
        <f>VLOOKUP(A4,Productos!$A:$P,15,FALSE)</f>
        <v>Bodega A</v>
      </c>
    </row>
    <row r="5">
      <c r="A5" s="19" t="s">
        <v>216</v>
      </c>
      <c r="B5" s="19" t="s">
        <v>23</v>
      </c>
      <c r="C5" s="19" t="s">
        <v>209</v>
      </c>
      <c r="D5" s="19">
        <v>22.0</v>
      </c>
      <c r="E5" s="19">
        <f>SUMIF(Compras!$D:$D,A5,Compras!$F:$F)</f>
        <v>60</v>
      </c>
      <c r="F5" s="19">
        <f>SUMIF(Detalle_Pedidos!$B:$B,A5,Detalle_Pedidos!$D:$D)</f>
        <v>71</v>
      </c>
      <c r="G5" s="19">
        <f t="shared" si="1"/>
        <v>11</v>
      </c>
      <c r="H5" s="19">
        <f>VLOOKUP(A5,Productos!$A:$P,14,FALSE)</f>
        <v>20</v>
      </c>
      <c r="I5" s="22">
        <f>G5*VLOOKUP(A5,Productos!$A:$P,9,FALSE)</f>
        <v>16830</v>
      </c>
      <c r="J5" s="19" t="str">
        <f t="shared" si="2"/>
        <v>BAJO</v>
      </c>
      <c r="K5" s="19" t="str">
        <f>VLOOKUP(A5,Productos!$A:$P,15,FALSE)</f>
        <v>Bodega A</v>
      </c>
    </row>
    <row r="6">
      <c r="A6" s="19" t="s">
        <v>219</v>
      </c>
      <c r="B6" s="19" t="s">
        <v>25</v>
      </c>
      <c r="C6" s="19" t="s">
        <v>221</v>
      </c>
      <c r="D6" s="19">
        <v>60.0</v>
      </c>
      <c r="E6" s="19">
        <f>SUMIF(Compras!$D:$D,A6,Compras!$F:$F)</f>
        <v>120</v>
      </c>
      <c r="F6" s="19">
        <f>SUMIF(Detalle_Pedidos!$B:$B,A6,Detalle_Pedidos!$D:$D)</f>
        <v>94</v>
      </c>
      <c r="G6" s="19">
        <f t="shared" si="1"/>
        <v>86</v>
      </c>
      <c r="H6" s="19">
        <f>VLOOKUP(A6,Productos!$A:$P,14,FALSE)</f>
        <v>48</v>
      </c>
      <c r="I6" s="22">
        <f>G6*VLOOKUP(A6,Productos!$A:$P,9,FALSE)</f>
        <v>70520</v>
      </c>
      <c r="J6" s="19" t="str">
        <f t="shared" si="2"/>
        <v>OK</v>
      </c>
      <c r="K6" s="19" t="str">
        <f>VLOOKUP(A6,Productos!$A:$P,15,FALSE)</f>
        <v>Bodega B</v>
      </c>
    </row>
    <row r="7">
      <c r="A7" s="19" t="s">
        <v>224</v>
      </c>
      <c r="B7" s="19" t="s">
        <v>27</v>
      </c>
      <c r="C7" s="19" t="s">
        <v>221</v>
      </c>
      <c r="D7" s="19">
        <v>50.0</v>
      </c>
      <c r="E7" s="19">
        <f>SUMIF(Compras!$D:$D,A7,Compras!$F:$F)</f>
        <v>0</v>
      </c>
      <c r="F7" s="19">
        <f>SUMIF(Detalle_Pedidos!$B:$B,A7,Detalle_Pedidos!$D:$D)</f>
        <v>115</v>
      </c>
      <c r="G7" s="19">
        <f t="shared" si="1"/>
        <v>-65</v>
      </c>
      <c r="H7" s="19">
        <f>VLOOKUP(A7,Productos!$A:$P,14,FALSE)</f>
        <v>60</v>
      </c>
      <c r="I7" s="22">
        <f>G7*VLOOKUP(A7,Productos!$A:$P,9,FALSE)</f>
        <v>-27300</v>
      </c>
      <c r="J7" s="19" t="str">
        <f t="shared" si="2"/>
        <v>SIN STOCK</v>
      </c>
      <c r="K7" s="19" t="str">
        <f>VLOOKUP(A7,Productos!$A:$P,15,FALSE)</f>
        <v>Bodega B</v>
      </c>
    </row>
    <row r="8">
      <c r="A8" s="19" t="s">
        <v>227</v>
      </c>
      <c r="B8" s="19" t="s">
        <v>29</v>
      </c>
      <c r="C8" s="19" t="s">
        <v>221</v>
      </c>
      <c r="D8" s="19">
        <v>18.0</v>
      </c>
      <c r="E8" s="19">
        <f>SUMIF(Compras!$D:$D,A8,Compras!$F:$F)</f>
        <v>40</v>
      </c>
      <c r="F8" s="19">
        <f>SUMIF(Detalle_Pedidos!$B:$B,A8,Detalle_Pedidos!$D:$D)</f>
        <v>85</v>
      </c>
      <c r="G8" s="19">
        <f t="shared" si="1"/>
        <v>-27</v>
      </c>
      <c r="H8" s="19">
        <f>VLOOKUP(A8,Productos!$A:$P,14,FALSE)</f>
        <v>12</v>
      </c>
      <c r="I8" s="22">
        <f>G8*VLOOKUP(A8,Productos!$A:$P,9,FALSE)</f>
        <v>-67500</v>
      </c>
      <c r="J8" s="19" t="str">
        <f t="shared" si="2"/>
        <v>SIN STOCK</v>
      </c>
      <c r="K8" s="19" t="str">
        <f>VLOOKUP(A8,Productos!$A:$P,15,FALSE)</f>
        <v>Bodega B</v>
      </c>
    </row>
    <row r="9">
      <c r="A9" s="19" t="s">
        <v>229</v>
      </c>
      <c r="B9" s="19" t="s">
        <v>31</v>
      </c>
      <c r="C9" s="19" t="s">
        <v>231</v>
      </c>
      <c r="D9" s="19">
        <v>12.0</v>
      </c>
      <c r="E9" s="19">
        <f>SUMIF(Compras!$D:$D,A9,Compras!$F:$F)</f>
        <v>35</v>
      </c>
      <c r="F9" s="19">
        <f>SUMIF(Detalle_Pedidos!$B:$B,A9,Detalle_Pedidos!$D:$D)</f>
        <v>68</v>
      </c>
      <c r="G9" s="19">
        <f t="shared" si="1"/>
        <v>-21</v>
      </c>
      <c r="H9" s="19">
        <f>VLOOKUP(A9,Productos!$A:$P,14,FALSE)</f>
        <v>10</v>
      </c>
      <c r="I9" s="22">
        <f>G9*VLOOKUP(A9,Productos!$A:$P,9,FALSE)</f>
        <v>-132300</v>
      </c>
      <c r="J9" s="19" t="str">
        <f t="shared" si="2"/>
        <v>SIN STOCK</v>
      </c>
      <c r="K9" s="19" t="str">
        <f>VLOOKUP(A9,Productos!$A:$P,15,FALSE)</f>
        <v>Frágil</v>
      </c>
    </row>
    <row r="10">
      <c r="A10" s="19" t="s">
        <v>235</v>
      </c>
      <c r="B10" s="19" t="s">
        <v>32</v>
      </c>
      <c r="C10" s="19" t="s">
        <v>231</v>
      </c>
      <c r="D10" s="19">
        <v>4.0</v>
      </c>
      <c r="E10" s="19">
        <f>SUMIF(Compras!$D:$D,A10,Compras!$F:$F)</f>
        <v>8</v>
      </c>
      <c r="F10" s="19">
        <f>SUMIF(Detalle_Pedidos!$B:$B,A10,Detalle_Pedidos!$D:$D)</f>
        <v>32</v>
      </c>
      <c r="G10" s="19">
        <f t="shared" si="1"/>
        <v>-20</v>
      </c>
      <c r="H10" s="19">
        <f>VLOOKUP(A10,Productos!$A:$P,14,FALSE)</f>
        <v>4</v>
      </c>
      <c r="I10" s="22">
        <f>G10*VLOOKUP(A10,Productos!$A:$P,9,FALSE)</f>
        <v>-806000</v>
      </c>
      <c r="J10" s="19" t="str">
        <f t="shared" si="2"/>
        <v>SIN STOCK</v>
      </c>
      <c r="K10" s="19" t="str">
        <f>VLOOKUP(A10,Productos!$A:$P,15,FALSE)</f>
        <v>Frágil</v>
      </c>
    </row>
    <row r="11">
      <c r="A11" s="19" t="s">
        <v>238</v>
      </c>
      <c r="B11" s="19" t="s">
        <v>240</v>
      </c>
      <c r="C11" s="19" t="s">
        <v>231</v>
      </c>
      <c r="D11" s="19">
        <v>8.0</v>
      </c>
      <c r="E11" s="19">
        <f>SUMIF(Compras!$D:$D,A11,Compras!$F:$F)</f>
        <v>0</v>
      </c>
      <c r="F11" s="19">
        <f>SUMIF(Detalle_Pedidos!$B:$B,A11,Detalle_Pedidos!$D:$D)</f>
        <v>78</v>
      </c>
      <c r="G11" s="19">
        <f t="shared" si="1"/>
        <v>-70</v>
      </c>
      <c r="H11" s="19">
        <f>VLOOKUP(A11,Productos!$A:$P,14,FALSE)</f>
        <v>10</v>
      </c>
      <c r="I11" s="22">
        <f>G11*VLOOKUP(A11,Productos!$A:$P,9,FALSE)</f>
        <v>-304500</v>
      </c>
      <c r="J11" s="19" t="str">
        <f t="shared" si="2"/>
        <v>SIN STOCK</v>
      </c>
      <c r="K11" s="19" t="str">
        <f>VLOOKUP(A11,Productos!$A:$P,15,FALSE)</f>
        <v>Bodega C</v>
      </c>
    </row>
    <row r="12">
      <c r="A12" s="19" t="s">
        <v>243</v>
      </c>
      <c r="B12" s="19" t="s">
        <v>246</v>
      </c>
      <c r="C12" s="19" t="s">
        <v>245</v>
      </c>
      <c r="D12" s="19">
        <v>80.0</v>
      </c>
      <c r="E12" s="19">
        <f>SUMIF(Compras!$D:$D,A12,Compras!$F:$F)</f>
        <v>220</v>
      </c>
      <c r="F12" s="19">
        <f>SUMIF(Detalle_Pedidos!$B:$B,A12,Detalle_Pedidos!$D:$D)</f>
        <v>76</v>
      </c>
      <c r="G12" s="19">
        <f t="shared" si="1"/>
        <v>224</v>
      </c>
      <c r="H12" s="19">
        <f>VLOOKUP(A12,Productos!$A:$P,14,FALSE)</f>
        <v>50</v>
      </c>
      <c r="I12" s="22">
        <f>G12*VLOOKUP(A12,Productos!$A:$P,9,FALSE)</f>
        <v>253120</v>
      </c>
      <c r="J12" s="19" t="str">
        <f t="shared" si="2"/>
        <v>OK</v>
      </c>
      <c r="K12" s="19" t="str">
        <f>VLOOKUP(A12,Productos!$A:$P,15,FALSE)</f>
        <v>Bodega D</v>
      </c>
    </row>
    <row r="13">
      <c r="A13" s="19" t="s">
        <v>250</v>
      </c>
      <c r="B13" s="19" t="s">
        <v>252</v>
      </c>
      <c r="C13" s="19" t="s">
        <v>245</v>
      </c>
      <c r="D13" s="19">
        <v>30.0</v>
      </c>
      <c r="E13" s="19">
        <f>SUMIF(Compras!$D:$D,A13,Compras!$F:$F)</f>
        <v>0</v>
      </c>
      <c r="F13" s="19">
        <f>SUMIF(Detalle_Pedidos!$B:$B,A13,Detalle_Pedidos!$D:$D)</f>
        <v>150</v>
      </c>
      <c r="G13" s="19">
        <f t="shared" si="1"/>
        <v>-120</v>
      </c>
      <c r="H13" s="19">
        <f>VLOOKUP(A13,Productos!$A:$P,14,FALSE)</f>
        <v>30</v>
      </c>
      <c r="I13" s="22">
        <f>G13*VLOOKUP(A13,Productos!$A:$P,9,FALSE)</f>
        <v>-300000</v>
      </c>
      <c r="J13" s="19" t="str">
        <f t="shared" si="2"/>
        <v>SIN STOCK</v>
      </c>
      <c r="K13" s="19" t="str">
        <f>VLOOKUP(A13,Productos!$A:$P,15,FALSE)</f>
        <v>Exterior</v>
      </c>
    </row>
    <row r="14">
      <c r="A14" s="19" t="s">
        <v>255</v>
      </c>
      <c r="B14" s="19" t="s">
        <v>257</v>
      </c>
      <c r="C14" s="19" t="s">
        <v>245</v>
      </c>
      <c r="D14" s="19">
        <v>0.0</v>
      </c>
      <c r="E14" s="19">
        <f>SUMIF(Compras!$D:$D,A14,Compras!$F:$F)</f>
        <v>100</v>
      </c>
      <c r="F14" s="19">
        <f>SUMIF(Detalle_Pedidos!$B:$B,A14,Detalle_Pedidos!$D:$D)</f>
        <v>100</v>
      </c>
      <c r="G14" s="19">
        <f t="shared" si="1"/>
        <v>0</v>
      </c>
      <c r="H14" s="19">
        <f>VLOOKUP(A14,Productos!$A:$P,14,FALSE)</f>
        <v>50</v>
      </c>
      <c r="I14" s="22">
        <f>G14*VLOOKUP(A14,Productos!$A:$P,9,FALSE)</f>
        <v>0</v>
      </c>
      <c r="J14" s="19" t="str">
        <f t="shared" si="2"/>
        <v>SIN STOCK</v>
      </c>
      <c r="K14" s="19" t="str">
        <f>VLOOKUP(A14,Productos!$A:$P,15,FALSE)</f>
        <v>Exterior</v>
      </c>
    </row>
    <row r="15">
      <c r="A15" s="19" t="s">
        <v>259</v>
      </c>
      <c r="B15" s="19" t="s">
        <v>262</v>
      </c>
      <c r="C15" s="19" t="s">
        <v>261</v>
      </c>
      <c r="D15" s="19">
        <v>20.0</v>
      </c>
      <c r="E15" s="19">
        <f>SUMIF(Compras!$D:$D,A15,Compras!$F:$F)</f>
        <v>0</v>
      </c>
      <c r="F15" s="19">
        <f>SUMIF(Detalle_Pedidos!$B:$B,A15,Detalle_Pedidos!$D:$D)</f>
        <v>120</v>
      </c>
      <c r="G15" s="19">
        <f t="shared" si="1"/>
        <v>-100</v>
      </c>
      <c r="H15" s="19">
        <f>VLOOKUP(A15,Productos!$A:$P,14,FALSE)</f>
        <v>25</v>
      </c>
      <c r="I15" s="22">
        <f>G15*VLOOKUP(A15,Productos!$A:$P,9,FALSE)</f>
        <v>-95000</v>
      </c>
      <c r="J15" s="19" t="str">
        <f t="shared" si="2"/>
        <v>SIN STOCK</v>
      </c>
      <c r="K15" s="19" t="str">
        <f>VLOOKUP(A15,Productos!$A:$P,15,FALSE)</f>
        <v>Bodega C</v>
      </c>
    </row>
    <row r="16">
      <c r="A16" s="19" t="s">
        <v>263</v>
      </c>
      <c r="B16" s="19" t="s">
        <v>266</v>
      </c>
      <c r="C16" s="19" t="s">
        <v>265</v>
      </c>
      <c r="D16" s="19">
        <v>6.0</v>
      </c>
      <c r="E16" s="19">
        <f>SUMIF(Compras!$D:$D,A16,Compras!$F:$F)</f>
        <v>0</v>
      </c>
      <c r="F16" s="19">
        <f>SUMIF(Detalle_Pedidos!$B:$B,A16,Detalle_Pedidos!$D:$D)</f>
        <v>99</v>
      </c>
      <c r="G16" s="19">
        <f t="shared" si="1"/>
        <v>-93</v>
      </c>
      <c r="H16" s="19">
        <f>VLOOKUP(A16,Productos!$A:$P,14,FALSE)</f>
        <v>5</v>
      </c>
      <c r="I16" s="22">
        <f>G16*VLOOKUP(A16,Productos!$A:$P,9,FALSE)</f>
        <v>-418500</v>
      </c>
      <c r="J16" s="19" t="str">
        <f t="shared" si="2"/>
        <v>SIN STOCK</v>
      </c>
      <c r="K16" s="19" t="str">
        <f>VLOOKUP(A16,Productos!$A:$P,15,FALSE)</f>
        <v>Bodega E</v>
      </c>
    </row>
    <row r="17">
      <c r="A17" s="4"/>
      <c r="B17" s="4"/>
      <c r="C17" s="4"/>
      <c r="D17" s="4"/>
      <c r="E17" s="4"/>
      <c r="F17" s="4"/>
      <c r="G17" s="4"/>
      <c r="H17" s="4"/>
      <c r="I17" s="12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12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12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12"/>
      <c r="J20" s="4"/>
      <c r="K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12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12"/>
      <c r="J22" s="4"/>
      <c r="K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12"/>
      <c r="J23" s="4"/>
      <c r="K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12"/>
      <c r="J24" s="4"/>
      <c r="K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12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12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12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12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12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12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12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12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12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12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12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12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12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12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12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12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12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12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12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12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12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12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12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12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12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12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12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12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12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12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12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12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12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12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12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12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12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12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12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12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12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12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12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12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12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12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12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12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12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12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12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12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12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12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12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12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12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12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12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12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12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12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12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12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12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12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12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12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12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12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12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12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12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12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12"/>
      <c r="J99" s="4"/>
      <c r="K99" s="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J3:J1000">
    <cfRule type="expression" dxfId="4" priority="1">
      <formula>J3="BAJO"</formula>
    </cfRule>
  </conditionalFormatting>
  <conditionalFormatting sqref="J3:J1000">
    <cfRule type="expression" dxfId="5" priority="2">
      <formula>J3="SIN STOCK"</formula>
    </cfRule>
  </conditionalFormatting>
  <conditionalFormatting sqref="J3:J1000">
    <cfRule type="expression" dxfId="6" priority="3">
      <formula>J3="OK"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3" width="14.0"/>
    <col customWidth="1" min="4" max="4" width="16.0"/>
    <col customWidth="1" min="5" max="5" width="18.0"/>
    <col customWidth="1" min="6" max="26" width="8.71"/>
  </cols>
  <sheetData>
    <row r="1" ht="27.75" customHeight="1">
      <c r="A1" s="1" t="s">
        <v>344</v>
      </c>
      <c r="B1" s="2"/>
      <c r="C1" s="2"/>
      <c r="D1" s="2"/>
      <c r="E1" s="2"/>
      <c r="F1" s="2"/>
      <c r="G1" s="2"/>
      <c r="H1" s="3"/>
    </row>
    <row r="2" ht="30.0" customHeight="1">
      <c r="A2" s="4"/>
      <c r="B2" s="4"/>
      <c r="C2" s="4"/>
      <c r="D2" s="4"/>
      <c r="E2" s="4"/>
      <c r="F2" s="4"/>
      <c r="G2" s="4"/>
      <c r="H2" s="4"/>
    </row>
    <row r="3">
      <c r="A3" s="16" t="s">
        <v>34</v>
      </c>
      <c r="B3" s="4" t="s">
        <v>302</v>
      </c>
      <c r="C3" s="4"/>
      <c r="D3" s="4"/>
      <c r="E3" s="4"/>
      <c r="F3" s="4"/>
      <c r="G3" s="4"/>
      <c r="H3" s="4"/>
    </row>
    <row r="4">
      <c r="A4" s="16" t="s">
        <v>37</v>
      </c>
      <c r="B4" s="4" t="str">
        <f>IFERROR(VLOOKUP(B3,Pedidos!$A:$L,3,FALSE),"")</f>
        <v>Hostal Ruka</v>
      </c>
      <c r="C4" s="4"/>
      <c r="D4" s="16" t="s">
        <v>36</v>
      </c>
      <c r="E4" s="26">
        <f>IFERROR(VLOOKUP(B3,Pedidos!$A:$L,2,FALSE),"")</f>
        <v>46145</v>
      </c>
      <c r="F4" s="4"/>
      <c r="G4" s="4"/>
      <c r="H4" s="4"/>
    </row>
    <row r="5">
      <c r="A5" s="16" t="s">
        <v>57</v>
      </c>
      <c r="B5" s="4" t="str">
        <f>IFERROR(VLOOKUP(B4,Clientes!$B:$T,4,FALSE),"")</f>
        <v>General Urrutia 321</v>
      </c>
      <c r="C5" s="4"/>
      <c r="D5" s="16" t="s">
        <v>41</v>
      </c>
      <c r="E5" s="4" t="str">
        <f>IFERROR(VLOOKUP(B3,Pedidos!$A:$L,8,FALSE),"")</f>
        <v>Efectivo</v>
      </c>
      <c r="F5" s="4"/>
      <c r="G5" s="4"/>
      <c r="H5" s="4"/>
    </row>
    <row r="6">
      <c r="A6" s="16" t="s">
        <v>13</v>
      </c>
      <c r="B6" s="4" t="str">
        <f>IFERROR(VLOOKUP(B3,Pedidos!$A:$L,4,FALSE),"")</f>
        <v>Villarrica</v>
      </c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11" t="s">
        <v>17</v>
      </c>
      <c r="B8" s="11" t="s">
        <v>46</v>
      </c>
      <c r="C8" s="11" t="s">
        <v>345</v>
      </c>
      <c r="D8" s="11" t="s">
        <v>48</v>
      </c>
      <c r="E8" s="4"/>
      <c r="F8" s="4"/>
      <c r="G8" s="4"/>
      <c r="H8" s="4"/>
    </row>
    <row r="9">
      <c r="A9" s="28"/>
      <c r="B9" s="28"/>
      <c r="C9" s="28"/>
      <c r="D9" s="28"/>
      <c r="E9" s="4"/>
      <c r="F9" s="4"/>
      <c r="G9" s="4"/>
      <c r="H9" s="4"/>
    </row>
    <row r="10">
      <c r="A10" s="28"/>
      <c r="B10" s="28"/>
      <c r="C10" s="28"/>
      <c r="D10" s="28"/>
      <c r="E10" s="4"/>
      <c r="F10" s="4"/>
      <c r="G10" s="4"/>
      <c r="H10" s="4"/>
    </row>
    <row r="11">
      <c r="A11" s="28"/>
      <c r="B11" s="28"/>
      <c r="C11" s="28"/>
      <c r="D11" s="28"/>
      <c r="E11" s="4"/>
      <c r="F11" s="4"/>
      <c r="G11" s="4"/>
      <c r="H11" s="4"/>
    </row>
    <row r="12">
      <c r="A12" s="28"/>
      <c r="B12" s="28"/>
      <c r="C12" s="28"/>
      <c r="D12" s="28"/>
      <c r="E12" s="4"/>
      <c r="F12" s="4"/>
      <c r="G12" s="4"/>
      <c r="H12" s="4"/>
    </row>
    <row r="13">
      <c r="A13" s="28"/>
      <c r="B13" s="28"/>
      <c r="C13" s="28"/>
      <c r="D13" s="28"/>
      <c r="E13" s="4"/>
      <c r="F13" s="4"/>
      <c r="G13" s="4"/>
      <c r="H13" s="4"/>
    </row>
    <row r="14">
      <c r="A14" s="28"/>
      <c r="B14" s="28"/>
      <c r="C14" s="28"/>
      <c r="D14" s="28"/>
      <c r="E14" s="4"/>
      <c r="F14" s="4"/>
      <c r="G14" s="4"/>
      <c r="H14" s="4"/>
    </row>
    <row r="15">
      <c r="A15" s="28"/>
      <c r="B15" s="28"/>
      <c r="C15" s="28"/>
      <c r="D15" s="28"/>
      <c r="E15" s="4"/>
      <c r="F15" s="4"/>
      <c r="G15" s="4"/>
      <c r="H15" s="4"/>
    </row>
    <row r="16">
      <c r="A16" s="28"/>
      <c r="B16" s="28"/>
      <c r="C16" s="28"/>
      <c r="D16" s="28"/>
      <c r="E16" s="4"/>
      <c r="F16" s="4"/>
      <c r="G16" s="4"/>
      <c r="H16" s="4"/>
    </row>
    <row r="17">
      <c r="A17" s="28"/>
      <c r="B17" s="28"/>
      <c r="C17" s="28"/>
      <c r="D17" s="28"/>
      <c r="E17" s="4"/>
      <c r="F17" s="4"/>
      <c r="G17" s="4"/>
      <c r="H17" s="4"/>
    </row>
    <row r="18">
      <c r="A18" s="28"/>
      <c r="B18" s="28"/>
      <c r="C18" s="28"/>
      <c r="D18" s="28"/>
      <c r="E18" s="4"/>
      <c r="F18" s="4"/>
      <c r="G18" s="4"/>
      <c r="H18" s="4"/>
    </row>
    <row r="19">
      <c r="A19" s="28"/>
      <c r="B19" s="28"/>
      <c r="C19" s="28"/>
      <c r="D19" s="28"/>
      <c r="E19" s="4"/>
      <c r="F19" s="4"/>
      <c r="G19" s="4"/>
      <c r="H19" s="4"/>
    </row>
    <row r="20">
      <c r="A20" s="28"/>
      <c r="B20" s="28"/>
      <c r="C20" s="28"/>
      <c r="D20" s="28"/>
      <c r="E20" s="4"/>
      <c r="F20" s="4"/>
      <c r="G20" s="4"/>
      <c r="H20" s="4"/>
    </row>
    <row r="21" ht="15.75" customHeight="1">
      <c r="A21" s="28"/>
      <c r="B21" s="28"/>
      <c r="C21" s="28"/>
      <c r="D21" s="28"/>
      <c r="E21" s="4"/>
      <c r="F21" s="4"/>
      <c r="G21" s="4"/>
      <c r="H21" s="4"/>
    </row>
    <row r="22" ht="15.75" customHeight="1">
      <c r="A22" s="28"/>
      <c r="B22" s="28"/>
      <c r="C22" s="28"/>
      <c r="D22" s="28"/>
      <c r="E22" s="4"/>
      <c r="F22" s="4"/>
      <c r="G22" s="4"/>
      <c r="H22" s="4"/>
    </row>
    <row r="23" ht="15.75" customHeight="1">
      <c r="A23" s="28"/>
      <c r="B23" s="28"/>
      <c r="C23" s="28"/>
      <c r="D23" s="28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16" t="s">
        <v>346</v>
      </c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16" t="s">
        <v>347</v>
      </c>
      <c r="B29" s="4"/>
      <c r="C29" s="4"/>
      <c r="D29" s="16" t="s">
        <v>348</v>
      </c>
      <c r="E29" s="4"/>
      <c r="F29" s="4"/>
      <c r="G29" s="4"/>
      <c r="H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3" width="16.0"/>
    <col customWidth="1" min="4" max="4" width="14.0"/>
    <col customWidth="1" min="5" max="5" width="20.0"/>
    <col customWidth="1" min="6" max="6" width="26.0"/>
    <col customWidth="1" min="7" max="26" width="8.71"/>
  </cols>
  <sheetData>
    <row r="1" ht="27.75" customHeight="1">
      <c r="A1" s="1" t="s">
        <v>349</v>
      </c>
      <c r="B1" s="2"/>
      <c r="C1" s="2"/>
      <c r="D1" s="2"/>
      <c r="E1" s="2"/>
      <c r="F1" s="3"/>
    </row>
    <row r="2" ht="30.0" customHeight="1">
      <c r="A2" s="27" t="s">
        <v>350</v>
      </c>
      <c r="B2" s="27" t="s">
        <v>351</v>
      </c>
      <c r="C2" s="27" t="s">
        <v>352</v>
      </c>
      <c r="D2" s="27" t="s">
        <v>337</v>
      </c>
      <c r="E2" s="27" t="s">
        <v>353</v>
      </c>
      <c r="F2" s="27" t="s">
        <v>354</v>
      </c>
    </row>
    <row r="3">
      <c r="A3" s="19" t="s">
        <v>355</v>
      </c>
      <c r="B3" s="19">
        <v>1.0</v>
      </c>
      <c r="C3" s="19">
        <v>9.0</v>
      </c>
      <c r="D3" s="23">
        <v>0.0</v>
      </c>
      <c r="E3" s="19" t="s">
        <v>356</v>
      </c>
      <c r="F3" s="19" t="s">
        <v>357</v>
      </c>
    </row>
    <row r="4">
      <c r="A4" s="19" t="s">
        <v>358</v>
      </c>
      <c r="B4" s="19">
        <v>10.0</v>
      </c>
      <c r="C4" s="19">
        <v>29.0</v>
      </c>
      <c r="D4" s="23">
        <v>0.05</v>
      </c>
      <c r="E4" s="19" t="s">
        <v>359</v>
      </c>
      <c r="F4" s="19" t="s">
        <v>360</v>
      </c>
    </row>
    <row r="5">
      <c r="A5" s="19" t="s">
        <v>361</v>
      </c>
      <c r="B5" s="19">
        <v>30.0</v>
      </c>
      <c r="C5" s="19">
        <v>49.0</v>
      </c>
      <c r="D5" s="23">
        <v>0.08</v>
      </c>
      <c r="E5" s="19" t="s">
        <v>362</v>
      </c>
      <c r="F5" s="19" t="s">
        <v>363</v>
      </c>
    </row>
    <row r="6">
      <c r="A6" s="19" t="s">
        <v>364</v>
      </c>
      <c r="B6" s="19">
        <v>50.0</v>
      </c>
      <c r="C6" s="19">
        <v>99.0</v>
      </c>
      <c r="D6" s="23">
        <v>0.12</v>
      </c>
      <c r="E6" s="19" t="s">
        <v>365</v>
      </c>
      <c r="F6" s="19" t="s">
        <v>366</v>
      </c>
    </row>
    <row r="7">
      <c r="A7" s="19" t="s">
        <v>367</v>
      </c>
      <c r="B7" s="19">
        <v>100.0</v>
      </c>
      <c r="C7" s="19">
        <v>299.0</v>
      </c>
      <c r="D7" s="23">
        <v>0.15</v>
      </c>
      <c r="E7" s="19" t="s">
        <v>368</v>
      </c>
      <c r="F7" s="19" t="s">
        <v>369</v>
      </c>
    </row>
    <row r="8">
      <c r="A8" s="19" t="s">
        <v>370</v>
      </c>
      <c r="B8" s="19">
        <v>300.0</v>
      </c>
      <c r="C8" s="19">
        <v>9999.0</v>
      </c>
      <c r="D8" s="23">
        <v>0.18</v>
      </c>
      <c r="E8" s="19" t="s">
        <v>371</v>
      </c>
      <c r="F8" s="19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5.0"/>
    <col customWidth="1" min="3" max="4" width="14.0"/>
    <col customWidth="1" min="5" max="5" width="15.0"/>
    <col customWidth="1" min="6" max="6" width="10.0"/>
    <col customWidth="1" min="7" max="7" width="16.0"/>
    <col customWidth="1" min="8" max="8" width="12.0"/>
    <col customWidth="1" min="9" max="9" width="16.0"/>
    <col customWidth="1" min="10" max="10" width="18.0"/>
    <col customWidth="1" min="11" max="26" width="8.71"/>
  </cols>
  <sheetData>
    <row r="1" ht="27.75" customHeight="1">
      <c r="A1" s="1" t="s">
        <v>373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18" t="s">
        <v>13</v>
      </c>
      <c r="B2" s="18" t="s">
        <v>5</v>
      </c>
      <c r="C2" s="18" t="s">
        <v>1</v>
      </c>
      <c r="D2" s="18" t="s">
        <v>2</v>
      </c>
      <c r="E2" s="18" t="s">
        <v>8</v>
      </c>
      <c r="F2" s="18" t="s">
        <v>16</v>
      </c>
      <c r="G2" s="18" t="s">
        <v>7</v>
      </c>
      <c r="H2" s="18" t="s">
        <v>374</v>
      </c>
      <c r="I2" s="18" t="s">
        <v>375</v>
      </c>
      <c r="J2" s="18" t="s">
        <v>376</v>
      </c>
    </row>
    <row r="3">
      <c r="A3" s="19" t="s">
        <v>18</v>
      </c>
      <c r="B3" s="19">
        <f>COUNTIF(Clientes!$G:$G,A3)</f>
        <v>5</v>
      </c>
      <c r="C3" s="22">
        <f>SUMIF(Ventas!$C:$C,A3,Ventas!$H:$H)</f>
        <v>1714464.5</v>
      </c>
      <c r="D3" s="22">
        <f>SUMIF(Ventas!$C:$C,A3,Ventas!$J:$J)</f>
        <v>239354.5</v>
      </c>
      <c r="E3" s="22">
        <f t="shared" ref="E3:E9" si="1">IF(F3&gt;0,C3/F3,0)</f>
        <v>244923.5</v>
      </c>
      <c r="F3" s="19">
        <f>COUNTIF(Pedidos!$D:$D,A3)</f>
        <v>7</v>
      </c>
      <c r="G3" s="19">
        <f>COUNTIFS(Pedidos!$D:$D,A3,Pedidos!$G:$G,"&lt;&gt;Anulado")</f>
        <v>7</v>
      </c>
      <c r="H3" s="19">
        <v>20.0</v>
      </c>
      <c r="I3" s="23">
        <f t="shared" ref="I3:I9" si="2">IF(H3&gt;0,G3/H3,0)</f>
        <v>0.35</v>
      </c>
      <c r="J3" s="19" t="s">
        <v>377</v>
      </c>
    </row>
    <row r="4">
      <c r="A4" s="19" t="s">
        <v>20</v>
      </c>
      <c r="B4" s="19">
        <f>COUNTIF(Clientes!$G:$G,A4)</f>
        <v>3</v>
      </c>
      <c r="C4" s="22">
        <f>SUMIF(Ventas!$C:$C,A4,Ventas!$H:$H)</f>
        <v>2205812.5</v>
      </c>
      <c r="D4" s="22">
        <f>SUMIF(Ventas!$C:$C,A4,Ventas!$J:$J)</f>
        <v>312962.5</v>
      </c>
      <c r="E4" s="22">
        <f t="shared" si="1"/>
        <v>275726.5625</v>
      </c>
      <c r="F4" s="19">
        <f>COUNTIF(Pedidos!$D:$D,A4)</f>
        <v>8</v>
      </c>
      <c r="G4" s="19">
        <f>COUNTIFS(Pedidos!$D:$D,A4,Pedidos!$G:$G,"&lt;&gt;Anulado")</f>
        <v>8</v>
      </c>
      <c r="H4" s="19">
        <v>20.0</v>
      </c>
      <c r="I4" s="23">
        <f t="shared" si="2"/>
        <v>0.4</v>
      </c>
      <c r="J4" s="19" t="s">
        <v>377</v>
      </c>
    </row>
    <row r="5">
      <c r="A5" s="19" t="s">
        <v>22</v>
      </c>
      <c r="B5" s="19">
        <f>COUNTIF(Clientes!$G:$G,A5)</f>
        <v>1</v>
      </c>
      <c r="C5" s="22">
        <f>SUMIF(Ventas!$C:$C,A5,Ventas!$H:$H)</f>
        <v>650176</v>
      </c>
      <c r="D5" s="22">
        <f>SUMIF(Ventas!$C:$C,A5,Ventas!$J:$J)</f>
        <v>106876</v>
      </c>
      <c r="E5" s="22">
        <f t="shared" si="1"/>
        <v>325088</v>
      </c>
      <c r="F5" s="19">
        <f>COUNTIF(Pedidos!$D:$D,A5)</f>
        <v>2</v>
      </c>
      <c r="G5" s="19">
        <f>COUNTIFS(Pedidos!$D:$D,A5,Pedidos!$G:$G,"&lt;&gt;Anulado")</f>
        <v>2</v>
      </c>
      <c r="H5" s="19">
        <v>10.0</v>
      </c>
      <c r="I5" s="23">
        <f t="shared" si="2"/>
        <v>0.2</v>
      </c>
      <c r="J5" s="19" t="s">
        <v>377</v>
      </c>
    </row>
    <row r="6">
      <c r="A6" s="19" t="s">
        <v>24</v>
      </c>
      <c r="B6" s="19">
        <f>COUNTIF(Clientes!$G:$G,A6)</f>
        <v>1</v>
      </c>
      <c r="C6" s="22">
        <f>SUMIF(Ventas!$C:$C,A6,Ventas!$H:$H)</f>
        <v>272802.5</v>
      </c>
      <c r="D6" s="22">
        <f>SUMIF(Ventas!$C:$C,A6,Ventas!$J:$J)</f>
        <v>60532.5</v>
      </c>
      <c r="E6" s="22">
        <f t="shared" si="1"/>
        <v>136401.25</v>
      </c>
      <c r="F6" s="19">
        <f>COUNTIF(Pedidos!$D:$D,A6)</f>
        <v>2</v>
      </c>
      <c r="G6" s="19">
        <f>COUNTIFS(Pedidos!$D:$D,A6,Pedidos!$G:$G,"&lt;&gt;Anulado")</f>
        <v>2</v>
      </c>
      <c r="H6" s="19">
        <v>10.0</v>
      </c>
      <c r="I6" s="23">
        <f t="shared" si="2"/>
        <v>0.2</v>
      </c>
      <c r="J6" s="19" t="s">
        <v>377</v>
      </c>
    </row>
    <row r="7">
      <c r="A7" s="19" t="s">
        <v>26</v>
      </c>
      <c r="B7" s="19">
        <f>COUNTIF(Clientes!$G:$G,A7)</f>
        <v>1</v>
      </c>
      <c r="C7" s="22">
        <f>SUMIF(Ventas!$C:$C,A7,Ventas!$H:$H)</f>
        <v>470514</v>
      </c>
      <c r="D7" s="22">
        <f>SUMIF(Ventas!$C:$C,A7,Ventas!$J:$J)</f>
        <v>84564</v>
      </c>
      <c r="E7" s="22">
        <f t="shared" si="1"/>
        <v>235257</v>
      </c>
      <c r="F7" s="19">
        <f>COUNTIF(Pedidos!$D:$D,A7)</f>
        <v>2</v>
      </c>
      <c r="G7" s="19">
        <f>COUNTIFS(Pedidos!$D:$D,A7,Pedidos!$G:$G,"&lt;&gt;Anulado")</f>
        <v>2</v>
      </c>
      <c r="H7" s="19">
        <v>10.0</v>
      </c>
      <c r="I7" s="23">
        <f t="shared" si="2"/>
        <v>0.2</v>
      </c>
      <c r="J7" s="19" t="s">
        <v>377</v>
      </c>
    </row>
    <row r="8">
      <c r="A8" s="19" t="s">
        <v>28</v>
      </c>
      <c r="B8" s="19">
        <f>COUNTIF(Clientes!$G:$G,A8)</f>
        <v>0</v>
      </c>
      <c r="C8" s="22">
        <f>SUMIF(Ventas!$C:$C,A8,Ventas!$H:$H)</f>
        <v>0</v>
      </c>
      <c r="D8" s="22">
        <f>SUMIF(Ventas!$C:$C,A8,Ventas!$J:$J)</f>
        <v>0</v>
      </c>
      <c r="E8" s="22">
        <f t="shared" si="1"/>
        <v>0</v>
      </c>
      <c r="F8" s="19">
        <f>COUNTIF(Pedidos!$D:$D,A8)</f>
        <v>0</v>
      </c>
      <c r="G8" s="19">
        <f>COUNTIFS(Pedidos!$D:$D,A8,Pedidos!$G:$G,"&lt;&gt;Anulado")</f>
        <v>0</v>
      </c>
      <c r="H8" s="19">
        <v>10.0</v>
      </c>
      <c r="I8" s="23">
        <f t="shared" si="2"/>
        <v>0</v>
      </c>
      <c r="J8" s="19" t="s">
        <v>377</v>
      </c>
    </row>
    <row r="9">
      <c r="A9" s="19" t="s">
        <v>30</v>
      </c>
      <c r="B9" s="19">
        <f>COUNTIF(Clientes!$G:$G,A9)</f>
        <v>1</v>
      </c>
      <c r="C9" s="22">
        <f>SUMIF(Ventas!$C:$C,A9,Ventas!$H:$H)</f>
        <v>115450</v>
      </c>
      <c r="D9" s="22">
        <f>SUMIF(Ventas!$C:$C,A9,Ventas!$J:$J)</f>
        <v>18100</v>
      </c>
      <c r="E9" s="22">
        <f t="shared" si="1"/>
        <v>115450</v>
      </c>
      <c r="F9" s="19">
        <f>COUNTIF(Pedidos!$D:$D,A9)</f>
        <v>1</v>
      </c>
      <c r="G9" s="19">
        <f>COUNTIFS(Pedidos!$D:$D,A9,Pedidos!$G:$G,"&lt;&gt;Anulado")</f>
        <v>1</v>
      </c>
      <c r="H9" s="19">
        <v>10.0</v>
      </c>
      <c r="I9" s="23">
        <f t="shared" si="2"/>
        <v>0.1</v>
      </c>
      <c r="J9" s="19" t="s">
        <v>377</v>
      </c>
    </row>
    <row r="10">
      <c r="A10" s="4"/>
      <c r="B10" s="4"/>
      <c r="C10" s="12"/>
      <c r="D10" s="12"/>
      <c r="E10" s="12"/>
      <c r="F10" s="4"/>
      <c r="G10" s="4"/>
      <c r="H10" s="4"/>
      <c r="I10" s="25"/>
      <c r="J10" s="4"/>
    </row>
    <row r="11">
      <c r="A11" s="4"/>
      <c r="B11" s="4"/>
      <c r="C11" s="12"/>
      <c r="D11" s="12"/>
      <c r="E11" s="12"/>
      <c r="F11" s="4"/>
      <c r="G11" s="4"/>
      <c r="H11" s="4"/>
      <c r="I11" s="25"/>
      <c r="J11" s="4"/>
    </row>
    <row r="12">
      <c r="A12" s="4"/>
      <c r="B12" s="4"/>
      <c r="C12" s="12"/>
      <c r="D12" s="12"/>
      <c r="E12" s="12"/>
      <c r="F12" s="4"/>
      <c r="G12" s="4"/>
      <c r="H12" s="4"/>
      <c r="I12" s="25"/>
      <c r="J12" s="4"/>
    </row>
    <row r="13">
      <c r="A13" s="4"/>
      <c r="B13" s="4"/>
      <c r="C13" s="12"/>
      <c r="D13" s="12"/>
      <c r="E13" s="12"/>
      <c r="F13" s="4"/>
      <c r="G13" s="4"/>
      <c r="H13" s="4"/>
      <c r="I13" s="25"/>
      <c r="J13" s="4"/>
    </row>
    <row r="14">
      <c r="A14" s="4"/>
      <c r="B14" s="4"/>
      <c r="C14" s="12"/>
      <c r="D14" s="12"/>
      <c r="E14" s="12"/>
      <c r="F14" s="4"/>
      <c r="G14" s="4"/>
      <c r="H14" s="4"/>
      <c r="I14" s="25"/>
      <c r="J14" s="4"/>
    </row>
    <row r="15">
      <c r="A15" s="4"/>
      <c r="B15" s="4"/>
      <c r="C15" s="12"/>
      <c r="D15" s="12"/>
      <c r="E15" s="12"/>
      <c r="F15" s="4"/>
      <c r="G15" s="4"/>
      <c r="H15" s="4"/>
      <c r="I15" s="25"/>
      <c r="J15" s="4"/>
    </row>
    <row r="16">
      <c r="A16" s="4"/>
      <c r="B16" s="4"/>
      <c r="C16" s="12"/>
      <c r="D16" s="12"/>
      <c r="E16" s="12"/>
      <c r="F16" s="4"/>
      <c r="G16" s="4"/>
      <c r="H16" s="4"/>
      <c r="I16" s="25"/>
      <c r="J16" s="4"/>
    </row>
    <row r="17">
      <c r="A17" s="4"/>
      <c r="B17" s="4"/>
      <c r="C17" s="12"/>
      <c r="D17" s="12"/>
      <c r="E17" s="12"/>
      <c r="F17" s="4"/>
      <c r="G17" s="4"/>
      <c r="H17" s="4"/>
      <c r="I17" s="25"/>
      <c r="J17" s="4"/>
    </row>
    <row r="18">
      <c r="A18" s="4"/>
      <c r="B18" s="4"/>
      <c r="C18" s="12"/>
      <c r="D18" s="12"/>
      <c r="E18" s="12"/>
      <c r="F18" s="4"/>
      <c r="G18" s="4"/>
      <c r="H18" s="4"/>
      <c r="I18" s="25"/>
      <c r="J18" s="4"/>
    </row>
    <row r="19">
      <c r="A19" s="4"/>
      <c r="B19" s="4"/>
      <c r="C19" s="12"/>
      <c r="D19" s="12"/>
      <c r="E19" s="12"/>
      <c r="F19" s="4"/>
      <c r="G19" s="4"/>
      <c r="H19" s="4"/>
      <c r="I19" s="25"/>
      <c r="J19" s="4"/>
    </row>
    <row r="20">
      <c r="A20" s="4"/>
      <c r="B20" s="4"/>
      <c r="C20" s="12"/>
      <c r="D20" s="12"/>
      <c r="E20" s="12"/>
      <c r="F20" s="4"/>
      <c r="G20" s="4"/>
      <c r="H20" s="4"/>
      <c r="I20" s="25"/>
      <c r="J20" s="4"/>
    </row>
    <row r="21" ht="15.75" customHeight="1">
      <c r="A21" s="4"/>
      <c r="B21" s="4"/>
      <c r="C21" s="12"/>
      <c r="D21" s="12"/>
      <c r="E21" s="12"/>
      <c r="F21" s="4"/>
      <c r="G21" s="4"/>
      <c r="H21" s="4"/>
      <c r="I21" s="25"/>
      <c r="J21" s="4"/>
    </row>
    <row r="22" ht="15.75" customHeight="1">
      <c r="A22" s="4"/>
      <c r="B22" s="4"/>
      <c r="C22" s="12"/>
      <c r="D22" s="12"/>
      <c r="E22" s="12"/>
      <c r="F22" s="4"/>
      <c r="G22" s="4"/>
      <c r="H22" s="4"/>
      <c r="I22" s="25"/>
      <c r="J22" s="4"/>
    </row>
    <row r="23" ht="15.75" customHeight="1">
      <c r="A23" s="4"/>
      <c r="B23" s="4"/>
      <c r="C23" s="12"/>
      <c r="D23" s="12"/>
      <c r="E23" s="12"/>
      <c r="F23" s="4"/>
      <c r="G23" s="4"/>
      <c r="H23" s="4"/>
      <c r="I23" s="25"/>
      <c r="J23" s="4"/>
    </row>
    <row r="24" ht="15.75" customHeight="1">
      <c r="A24" s="4"/>
      <c r="B24" s="4"/>
      <c r="C24" s="12"/>
      <c r="D24" s="12"/>
      <c r="E24" s="12"/>
      <c r="F24" s="4"/>
      <c r="G24" s="4"/>
      <c r="H24" s="4"/>
      <c r="I24" s="25"/>
      <c r="J24" s="4"/>
    </row>
    <row r="25" ht="15.75" customHeight="1">
      <c r="A25" s="4"/>
      <c r="B25" s="4"/>
      <c r="C25" s="12"/>
      <c r="D25" s="12"/>
      <c r="E25" s="12"/>
      <c r="F25" s="4"/>
      <c r="G25" s="4"/>
      <c r="H25" s="4"/>
      <c r="I25" s="25"/>
      <c r="J25" s="4"/>
    </row>
    <row r="26" ht="15.75" customHeight="1">
      <c r="A26" s="4"/>
      <c r="B26" s="4"/>
      <c r="C26" s="12"/>
      <c r="D26" s="12"/>
      <c r="E26" s="12"/>
      <c r="F26" s="4"/>
      <c r="G26" s="4"/>
      <c r="H26" s="4"/>
      <c r="I26" s="25"/>
      <c r="J26" s="4"/>
    </row>
    <row r="27" ht="15.75" customHeight="1">
      <c r="A27" s="4"/>
      <c r="B27" s="4"/>
      <c r="C27" s="12"/>
      <c r="D27" s="12"/>
      <c r="E27" s="12"/>
      <c r="F27" s="4"/>
      <c r="G27" s="4"/>
      <c r="H27" s="4"/>
      <c r="I27" s="25"/>
      <c r="J27" s="4"/>
    </row>
    <row r="28" ht="15.75" customHeight="1">
      <c r="A28" s="4"/>
      <c r="B28" s="4"/>
      <c r="C28" s="12"/>
      <c r="D28" s="12"/>
      <c r="E28" s="12"/>
      <c r="F28" s="4"/>
      <c r="G28" s="4"/>
      <c r="H28" s="4"/>
      <c r="I28" s="25"/>
      <c r="J28" s="4"/>
    </row>
    <row r="29" ht="15.75" customHeight="1">
      <c r="A29" s="4"/>
      <c r="B29" s="4"/>
      <c r="C29" s="12"/>
      <c r="D29" s="12"/>
      <c r="E29" s="12"/>
      <c r="F29" s="4"/>
      <c r="G29" s="4"/>
      <c r="H29" s="4"/>
      <c r="I29" s="25"/>
      <c r="J29" s="4"/>
    </row>
    <row r="30" ht="15.75" customHeight="1">
      <c r="A30" s="4"/>
      <c r="B30" s="4"/>
      <c r="C30" s="12"/>
      <c r="D30" s="12"/>
      <c r="E30" s="12"/>
      <c r="F30" s="4"/>
      <c r="G30" s="4"/>
      <c r="H30" s="4"/>
      <c r="I30" s="25"/>
      <c r="J30" s="4"/>
    </row>
    <row r="31" ht="15.75" customHeight="1">
      <c r="A31" s="4"/>
      <c r="B31" s="4"/>
      <c r="C31" s="12"/>
      <c r="D31" s="12"/>
      <c r="E31" s="12"/>
      <c r="F31" s="4"/>
      <c r="G31" s="4"/>
      <c r="H31" s="4"/>
      <c r="I31" s="25"/>
      <c r="J31" s="4"/>
    </row>
    <row r="32" ht="15.75" customHeight="1">
      <c r="A32" s="4"/>
      <c r="B32" s="4"/>
      <c r="C32" s="12"/>
      <c r="D32" s="12"/>
      <c r="E32" s="12"/>
      <c r="F32" s="4"/>
      <c r="G32" s="4"/>
      <c r="H32" s="4"/>
      <c r="I32" s="25"/>
      <c r="J32" s="4"/>
    </row>
    <row r="33" ht="15.75" customHeight="1">
      <c r="A33" s="4"/>
      <c r="B33" s="4"/>
      <c r="C33" s="12"/>
      <c r="D33" s="12"/>
      <c r="E33" s="12"/>
      <c r="F33" s="4"/>
      <c r="G33" s="4"/>
      <c r="H33" s="4"/>
      <c r="I33" s="25"/>
      <c r="J33" s="4"/>
    </row>
    <row r="34" ht="15.75" customHeight="1">
      <c r="A34" s="4"/>
      <c r="B34" s="4"/>
      <c r="C34" s="12"/>
      <c r="D34" s="12"/>
      <c r="E34" s="12"/>
      <c r="F34" s="4"/>
      <c r="G34" s="4"/>
      <c r="H34" s="4"/>
      <c r="I34" s="25"/>
      <c r="J34" s="4"/>
    </row>
    <row r="35" ht="15.75" customHeight="1">
      <c r="A35" s="4"/>
      <c r="B35" s="4"/>
      <c r="C35" s="12"/>
      <c r="D35" s="12"/>
      <c r="E35" s="12"/>
      <c r="F35" s="4"/>
      <c r="G35" s="4"/>
      <c r="H35" s="4"/>
      <c r="I35" s="25"/>
      <c r="J35" s="4"/>
    </row>
    <row r="36" ht="15.75" customHeight="1">
      <c r="A36" s="4"/>
      <c r="B36" s="4"/>
      <c r="C36" s="12"/>
      <c r="D36" s="12"/>
      <c r="E36" s="12"/>
      <c r="F36" s="4"/>
      <c r="G36" s="4"/>
      <c r="H36" s="4"/>
      <c r="I36" s="25"/>
      <c r="J36" s="4"/>
    </row>
    <row r="37" ht="15.75" customHeight="1">
      <c r="A37" s="4"/>
      <c r="B37" s="4"/>
      <c r="C37" s="12"/>
      <c r="D37" s="12"/>
      <c r="E37" s="12"/>
      <c r="F37" s="4"/>
      <c r="G37" s="4"/>
      <c r="H37" s="4"/>
      <c r="I37" s="25"/>
      <c r="J37" s="4"/>
    </row>
    <row r="38" ht="15.75" customHeight="1">
      <c r="A38" s="4"/>
      <c r="B38" s="4"/>
      <c r="C38" s="12"/>
      <c r="D38" s="12"/>
      <c r="E38" s="12"/>
      <c r="F38" s="4"/>
      <c r="G38" s="4"/>
      <c r="H38" s="4"/>
      <c r="I38" s="25"/>
      <c r="J38" s="4"/>
    </row>
    <row r="39" ht="15.75" customHeight="1">
      <c r="A39" s="4"/>
      <c r="B39" s="4"/>
      <c r="C39" s="12"/>
      <c r="D39" s="12"/>
      <c r="E39" s="12"/>
      <c r="F39" s="4"/>
      <c r="G39" s="4"/>
      <c r="H39" s="4"/>
      <c r="I39" s="25"/>
      <c r="J39" s="4"/>
    </row>
    <row r="40" ht="15.75" customHeight="1">
      <c r="A40" s="4"/>
      <c r="B40" s="4"/>
      <c r="C40" s="12"/>
      <c r="D40" s="12"/>
      <c r="E40" s="12"/>
      <c r="F40" s="4"/>
      <c r="G40" s="4"/>
      <c r="H40" s="4"/>
      <c r="I40" s="25"/>
      <c r="J40" s="4"/>
    </row>
    <row r="41" ht="15.75" customHeight="1">
      <c r="A41" s="4"/>
      <c r="B41" s="4"/>
      <c r="C41" s="12"/>
      <c r="D41" s="12"/>
      <c r="E41" s="12"/>
      <c r="F41" s="4"/>
      <c r="G41" s="4"/>
      <c r="H41" s="4"/>
      <c r="I41" s="25"/>
      <c r="J41" s="4"/>
    </row>
    <row r="42" ht="15.75" customHeight="1">
      <c r="A42" s="4"/>
      <c r="B42" s="4"/>
      <c r="C42" s="12"/>
      <c r="D42" s="12"/>
      <c r="E42" s="12"/>
      <c r="F42" s="4"/>
      <c r="G42" s="4"/>
      <c r="H42" s="4"/>
      <c r="I42" s="25"/>
      <c r="J42" s="4"/>
    </row>
    <row r="43" ht="15.75" customHeight="1">
      <c r="A43" s="4"/>
      <c r="B43" s="4"/>
      <c r="C43" s="12"/>
      <c r="D43" s="12"/>
      <c r="E43" s="12"/>
      <c r="F43" s="4"/>
      <c r="G43" s="4"/>
      <c r="H43" s="4"/>
      <c r="I43" s="25"/>
      <c r="J43" s="4"/>
    </row>
    <row r="44" ht="15.75" customHeight="1">
      <c r="A44" s="4"/>
      <c r="B44" s="4"/>
      <c r="C44" s="12"/>
      <c r="D44" s="12"/>
      <c r="E44" s="12"/>
      <c r="F44" s="4"/>
      <c r="G44" s="4"/>
      <c r="H44" s="4"/>
      <c r="I44" s="25"/>
      <c r="J44" s="4"/>
    </row>
    <row r="45" ht="15.75" customHeight="1">
      <c r="A45" s="4"/>
      <c r="B45" s="4"/>
      <c r="C45" s="12"/>
      <c r="D45" s="12"/>
      <c r="E45" s="12"/>
      <c r="F45" s="4"/>
      <c r="G45" s="4"/>
      <c r="H45" s="4"/>
      <c r="I45" s="25"/>
      <c r="J45" s="4"/>
    </row>
    <row r="46" ht="15.75" customHeight="1">
      <c r="A46" s="4"/>
      <c r="B46" s="4"/>
      <c r="C46" s="12"/>
      <c r="D46" s="12"/>
      <c r="E46" s="12"/>
      <c r="F46" s="4"/>
      <c r="G46" s="4"/>
      <c r="H46" s="4"/>
      <c r="I46" s="25"/>
      <c r="J46" s="4"/>
    </row>
    <row r="47" ht="15.75" customHeight="1">
      <c r="A47" s="4"/>
      <c r="B47" s="4"/>
      <c r="C47" s="12"/>
      <c r="D47" s="12"/>
      <c r="E47" s="12"/>
      <c r="F47" s="4"/>
      <c r="G47" s="4"/>
      <c r="H47" s="4"/>
      <c r="I47" s="25"/>
      <c r="J47" s="4"/>
    </row>
    <row r="48" ht="15.75" customHeight="1">
      <c r="A48" s="4"/>
      <c r="B48" s="4"/>
      <c r="C48" s="12"/>
      <c r="D48" s="12"/>
      <c r="E48" s="12"/>
      <c r="F48" s="4"/>
      <c r="G48" s="4"/>
      <c r="H48" s="4"/>
      <c r="I48" s="25"/>
      <c r="J48" s="4"/>
    </row>
    <row r="49" ht="15.75" customHeight="1">
      <c r="A49" s="4"/>
      <c r="B49" s="4"/>
      <c r="C49" s="12"/>
      <c r="D49" s="12"/>
      <c r="E49" s="12"/>
      <c r="F49" s="4"/>
      <c r="G49" s="4"/>
      <c r="H49" s="4"/>
      <c r="I49" s="25"/>
      <c r="J49" s="4"/>
    </row>
    <row r="50" ht="15.75" customHeight="1">
      <c r="A50" s="4"/>
      <c r="B50" s="4"/>
      <c r="C50" s="12"/>
      <c r="D50" s="12"/>
      <c r="E50" s="12"/>
      <c r="F50" s="4"/>
      <c r="G50" s="4"/>
      <c r="H50" s="4"/>
      <c r="I50" s="25"/>
      <c r="J50" s="4"/>
    </row>
    <row r="51" ht="15.75" customHeight="1">
      <c r="A51" s="4"/>
      <c r="B51" s="4"/>
      <c r="C51" s="12"/>
      <c r="D51" s="12"/>
      <c r="E51" s="12"/>
      <c r="F51" s="4"/>
      <c r="G51" s="4"/>
      <c r="H51" s="4"/>
      <c r="I51" s="25"/>
      <c r="J51" s="4"/>
    </row>
    <row r="52" ht="15.75" customHeight="1">
      <c r="A52" s="4"/>
      <c r="B52" s="4"/>
      <c r="C52" s="12"/>
      <c r="D52" s="12"/>
      <c r="E52" s="12"/>
      <c r="F52" s="4"/>
      <c r="G52" s="4"/>
      <c r="H52" s="4"/>
      <c r="I52" s="25"/>
      <c r="J52" s="4"/>
    </row>
    <row r="53" ht="15.75" customHeight="1">
      <c r="A53" s="4"/>
      <c r="B53" s="4"/>
      <c r="C53" s="12"/>
      <c r="D53" s="12"/>
      <c r="E53" s="12"/>
      <c r="F53" s="4"/>
      <c r="G53" s="4"/>
      <c r="H53" s="4"/>
      <c r="I53" s="25"/>
      <c r="J53" s="4"/>
    </row>
    <row r="54" ht="15.75" customHeight="1">
      <c r="A54" s="4"/>
      <c r="B54" s="4"/>
      <c r="C54" s="12"/>
      <c r="D54" s="12"/>
      <c r="E54" s="12"/>
      <c r="F54" s="4"/>
      <c r="G54" s="4"/>
      <c r="H54" s="4"/>
      <c r="I54" s="25"/>
      <c r="J54" s="4"/>
    </row>
    <row r="55" ht="15.75" customHeight="1">
      <c r="A55" s="4"/>
      <c r="B55" s="4"/>
      <c r="C55" s="12"/>
      <c r="D55" s="12"/>
      <c r="E55" s="12"/>
      <c r="F55" s="4"/>
      <c r="G55" s="4"/>
      <c r="H55" s="4"/>
      <c r="I55" s="25"/>
      <c r="J55" s="4"/>
    </row>
    <row r="56" ht="15.75" customHeight="1">
      <c r="A56" s="4"/>
      <c r="B56" s="4"/>
      <c r="C56" s="12"/>
      <c r="D56" s="12"/>
      <c r="E56" s="12"/>
      <c r="F56" s="4"/>
      <c r="G56" s="4"/>
      <c r="H56" s="4"/>
      <c r="I56" s="25"/>
      <c r="J56" s="4"/>
    </row>
    <row r="57" ht="15.75" customHeight="1">
      <c r="A57" s="4"/>
      <c r="B57" s="4"/>
      <c r="C57" s="12"/>
      <c r="D57" s="12"/>
      <c r="E57" s="12"/>
      <c r="F57" s="4"/>
      <c r="G57" s="4"/>
      <c r="H57" s="4"/>
      <c r="I57" s="25"/>
      <c r="J57" s="4"/>
    </row>
    <row r="58" ht="15.75" customHeight="1">
      <c r="A58" s="4"/>
      <c r="B58" s="4"/>
      <c r="C58" s="12"/>
      <c r="D58" s="12"/>
      <c r="E58" s="12"/>
      <c r="F58" s="4"/>
      <c r="G58" s="4"/>
      <c r="H58" s="4"/>
      <c r="I58" s="25"/>
      <c r="J58" s="4"/>
    </row>
    <row r="59" ht="15.75" customHeight="1">
      <c r="A59" s="4"/>
      <c r="B59" s="4"/>
      <c r="C59" s="12"/>
      <c r="D59" s="12"/>
      <c r="E59" s="12"/>
      <c r="F59" s="4"/>
      <c r="G59" s="4"/>
      <c r="H59" s="4"/>
      <c r="I59" s="25"/>
      <c r="J59" s="4"/>
    </row>
    <row r="60" ht="15.75" customHeight="1">
      <c r="A60" s="4"/>
      <c r="B60" s="4"/>
      <c r="C60" s="12"/>
      <c r="D60" s="12"/>
      <c r="E60" s="12"/>
      <c r="F60" s="4"/>
      <c r="G60" s="4"/>
      <c r="H60" s="4"/>
      <c r="I60" s="25"/>
      <c r="J60" s="4"/>
    </row>
    <row r="61" ht="15.75" customHeight="1">
      <c r="A61" s="4"/>
      <c r="B61" s="4"/>
      <c r="C61" s="12"/>
      <c r="D61" s="12"/>
      <c r="E61" s="12"/>
      <c r="F61" s="4"/>
      <c r="G61" s="4"/>
      <c r="H61" s="4"/>
      <c r="I61" s="25"/>
      <c r="J61" s="4"/>
    </row>
    <row r="62" ht="15.75" customHeight="1">
      <c r="A62" s="4"/>
      <c r="B62" s="4"/>
      <c r="C62" s="12"/>
      <c r="D62" s="12"/>
      <c r="E62" s="12"/>
      <c r="F62" s="4"/>
      <c r="G62" s="4"/>
      <c r="H62" s="4"/>
      <c r="I62" s="25"/>
      <c r="J62" s="4"/>
    </row>
    <row r="63" ht="15.75" customHeight="1">
      <c r="A63" s="4"/>
      <c r="B63" s="4"/>
      <c r="C63" s="12"/>
      <c r="D63" s="12"/>
      <c r="E63" s="12"/>
      <c r="F63" s="4"/>
      <c r="G63" s="4"/>
      <c r="H63" s="4"/>
      <c r="I63" s="25"/>
      <c r="J63" s="4"/>
    </row>
    <row r="64" ht="15.75" customHeight="1">
      <c r="A64" s="4"/>
      <c r="B64" s="4"/>
      <c r="C64" s="12"/>
      <c r="D64" s="12"/>
      <c r="E64" s="12"/>
      <c r="F64" s="4"/>
      <c r="G64" s="4"/>
      <c r="H64" s="4"/>
      <c r="I64" s="25"/>
      <c r="J64" s="4"/>
    </row>
    <row r="65" ht="15.75" customHeight="1">
      <c r="A65" s="4"/>
      <c r="B65" s="4"/>
      <c r="C65" s="12"/>
      <c r="D65" s="12"/>
      <c r="E65" s="12"/>
      <c r="F65" s="4"/>
      <c r="G65" s="4"/>
      <c r="H65" s="4"/>
      <c r="I65" s="25"/>
      <c r="J65" s="4"/>
    </row>
    <row r="66" ht="15.75" customHeight="1">
      <c r="A66" s="4"/>
      <c r="B66" s="4"/>
      <c r="C66" s="12"/>
      <c r="D66" s="12"/>
      <c r="E66" s="12"/>
      <c r="F66" s="4"/>
      <c r="G66" s="4"/>
      <c r="H66" s="4"/>
      <c r="I66" s="25"/>
      <c r="J66" s="4"/>
    </row>
    <row r="67" ht="15.75" customHeight="1">
      <c r="A67" s="4"/>
      <c r="B67" s="4"/>
      <c r="C67" s="12"/>
      <c r="D67" s="12"/>
      <c r="E67" s="12"/>
      <c r="F67" s="4"/>
      <c r="G67" s="4"/>
      <c r="H67" s="4"/>
      <c r="I67" s="25"/>
      <c r="J67" s="4"/>
    </row>
    <row r="68" ht="15.75" customHeight="1">
      <c r="A68" s="4"/>
      <c r="B68" s="4"/>
      <c r="C68" s="12"/>
      <c r="D68" s="12"/>
      <c r="E68" s="12"/>
      <c r="F68" s="4"/>
      <c r="G68" s="4"/>
      <c r="H68" s="4"/>
      <c r="I68" s="25"/>
      <c r="J68" s="4"/>
    </row>
    <row r="69" ht="15.75" customHeight="1">
      <c r="A69" s="4"/>
      <c r="B69" s="4"/>
      <c r="C69" s="12"/>
      <c r="D69" s="12"/>
      <c r="E69" s="12"/>
      <c r="F69" s="4"/>
      <c r="G69" s="4"/>
      <c r="H69" s="4"/>
      <c r="I69" s="25"/>
      <c r="J69" s="4"/>
    </row>
    <row r="70" ht="15.75" customHeight="1">
      <c r="A70" s="4"/>
      <c r="B70" s="4"/>
      <c r="C70" s="12"/>
      <c r="D70" s="12"/>
      <c r="E70" s="12"/>
      <c r="F70" s="4"/>
      <c r="G70" s="4"/>
      <c r="H70" s="4"/>
      <c r="I70" s="25"/>
      <c r="J70" s="4"/>
    </row>
    <row r="71" ht="15.75" customHeight="1">
      <c r="A71" s="4"/>
      <c r="B71" s="4"/>
      <c r="C71" s="12"/>
      <c r="D71" s="12"/>
      <c r="E71" s="12"/>
      <c r="F71" s="4"/>
      <c r="G71" s="4"/>
      <c r="H71" s="4"/>
      <c r="I71" s="25"/>
      <c r="J71" s="4"/>
    </row>
    <row r="72" ht="15.75" customHeight="1">
      <c r="A72" s="4"/>
      <c r="B72" s="4"/>
      <c r="C72" s="12"/>
      <c r="D72" s="12"/>
      <c r="E72" s="12"/>
      <c r="F72" s="4"/>
      <c r="G72" s="4"/>
      <c r="H72" s="4"/>
      <c r="I72" s="25"/>
      <c r="J72" s="4"/>
    </row>
    <row r="73" ht="15.75" customHeight="1">
      <c r="A73" s="4"/>
      <c r="B73" s="4"/>
      <c r="C73" s="12"/>
      <c r="D73" s="12"/>
      <c r="E73" s="12"/>
      <c r="F73" s="4"/>
      <c r="G73" s="4"/>
      <c r="H73" s="4"/>
      <c r="I73" s="25"/>
      <c r="J73" s="4"/>
    </row>
    <row r="74" ht="15.75" customHeight="1">
      <c r="A74" s="4"/>
      <c r="B74" s="4"/>
      <c r="C74" s="12"/>
      <c r="D74" s="12"/>
      <c r="E74" s="12"/>
      <c r="F74" s="4"/>
      <c r="G74" s="4"/>
      <c r="H74" s="4"/>
      <c r="I74" s="25"/>
      <c r="J74" s="4"/>
    </row>
    <row r="75" ht="15.75" customHeight="1">
      <c r="A75" s="4"/>
      <c r="B75" s="4"/>
      <c r="C75" s="12"/>
      <c r="D75" s="12"/>
      <c r="E75" s="12"/>
      <c r="F75" s="4"/>
      <c r="G75" s="4"/>
      <c r="H75" s="4"/>
      <c r="I75" s="25"/>
      <c r="J75" s="4"/>
    </row>
    <row r="76" ht="15.75" customHeight="1">
      <c r="A76" s="4"/>
      <c r="B76" s="4"/>
      <c r="C76" s="12"/>
      <c r="D76" s="12"/>
      <c r="E76" s="12"/>
      <c r="F76" s="4"/>
      <c r="G76" s="4"/>
      <c r="H76" s="4"/>
      <c r="I76" s="25"/>
      <c r="J76" s="4"/>
    </row>
    <row r="77" ht="15.75" customHeight="1">
      <c r="A77" s="4"/>
      <c r="B77" s="4"/>
      <c r="C77" s="12"/>
      <c r="D77" s="12"/>
      <c r="E77" s="12"/>
      <c r="F77" s="4"/>
      <c r="G77" s="4"/>
      <c r="H77" s="4"/>
      <c r="I77" s="25"/>
      <c r="J77" s="4"/>
    </row>
    <row r="78" ht="15.75" customHeight="1">
      <c r="A78" s="4"/>
      <c r="B78" s="4"/>
      <c r="C78" s="12"/>
      <c r="D78" s="12"/>
      <c r="E78" s="12"/>
      <c r="F78" s="4"/>
      <c r="G78" s="4"/>
      <c r="H78" s="4"/>
      <c r="I78" s="25"/>
      <c r="J78" s="4"/>
    </row>
    <row r="79" ht="15.75" customHeight="1">
      <c r="A79" s="4"/>
      <c r="B79" s="4"/>
      <c r="C79" s="12"/>
      <c r="D79" s="12"/>
      <c r="E79" s="12"/>
      <c r="F79" s="4"/>
      <c r="G79" s="4"/>
      <c r="H79" s="4"/>
      <c r="I79" s="25"/>
      <c r="J79" s="4"/>
    </row>
    <row r="80" ht="15.75" customHeight="1">
      <c r="A80" s="4"/>
      <c r="B80" s="4"/>
      <c r="C80" s="12"/>
      <c r="D80" s="12"/>
      <c r="E80" s="12"/>
      <c r="F80" s="4"/>
      <c r="G80" s="4"/>
      <c r="H80" s="4"/>
      <c r="I80" s="25"/>
      <c r="J80" s="4"/>
    </row>
    <row r="81" ht="15.75" customHeight="1">
      <c r="A81" s="4"/>
      <c r="B81" s="4"/>
      <c r="C81" s="12"/>
      <c r="D81" s="12"/>
      <c r="E81" s="12"/>
      <c r="F81" s="4"/>
      <c r="G81" s="4"/>
      <c r="H81" s="4"/>
      <c r="I81" s="25"/>
      <c r="J81" s="4"/>
    </row>
    <row r="82" ht="15.75" customHeight="1">
      <c r="A82" s="4"/>
      <c r="B82" s="4"/>
      <c r="C82" s="12"/>
      <c r="D82" s="12"/>
      <c r="E82" s="12"/>
      <c r="F82" s="4"/>
      <c r="G82" s="4"/>
      <c r="H82" s="4"/>
      <c r="I82" s="25"/>
      <c r="J82" s="4"/>
    </row>
    <row r="83" ht="15.75" customHeight="1">
      <c r="A83" s="4"/>
      <c r="B83" s="4"/>
      <c r="C83" s="12"/>
      <c r="D83" s="12"/>
      <c r="E83" s="12"/>
      <c r="F83" s="4"/>
      <c r="G83" s="4"/>
      <c r="H83" s="4"/>
      <c r="I83" s="25"/>
      <c r="J83" s="4"/>
    </row>
    <row r="84" ht="15.75" customHeight="1">
      <c r="A84" s="4"/>
      <c r="B84" s="4"/>
      <c r="C84" s="12"/>
      <c r="D84" s="12"/>
      <c r="E84" s="12"/>
      <c r="F84" s="4"/>
      <c r="G84" s="4"/>
      <c r="H84" s="4"/>
      <c r="I84" s="25"/>
      <c r="J84" s="4"/>
    </row>
    <row r="85" ht="15.75" customHeight="1">
      <c r="A85" s="4"/>
      <c r="B85" s="4"/>
      <c r="C85" s="12"/>
      <c r="D85" s="12"/>
      <c r="E85" s="12"/>
      <c r="F85" s="4"/>
      <c r="G85" s="4"/>
      <c r="H85" s="4"/>
      <c r="I85" s="25"/>
      <c r="J85" s="4"/>
    </row>
    <row r="86" ht="15.75" customHeight="1">
      <c r="A86" s="4"/>
      <c r="B86" s="4"/>
      <c r="C86" s="12"/>
      <c r="D86" s="12"/>
      <c r="E86" s="12"/>
      <c r="F86" s="4"/>
      <c r="G86" s="4"/>
      <c r="H86" s="4"/>
      <c r="I86" s="25"/>
      <c r="J86" s="4"/>
    </row>
    <row r="87" ht="15.75" customHeight="1">
      <c r="A87" s="4"/>
      <c r="B87" s="4"/>
      <c r="C87" s="12"/>
      <c r="D87" s="12"/>
      <c r="E87" s="12"/>
      <c r="F87" s="4"/>
      <c r="G87" s="4"/>
      <c r="H87" s="4"/>
      <c r="I87" s="25"/>
      <c r="J87" s="4"/>
    </row>
    <row r="88" ht="15.75" customHeight="1">
      <c r="A88" s="4"/>
      <c r="B88" s="4"/>
      <c r="C88" s="12"/>
      <c r="D88" s="12"/>
      <c r="E88" s="12"/>
      <c r="F88" s="4"/>
      <c r="G88" s="4"/>
      <c r="H88" s="4"/>
      <c r="I88" s="25"/>
      <c r="J88" s="4"/>
    </row>
    <row r="89" ht="15.75" customHeight="1">
      <c r="A89" s="4"/>
      <c r="B89" s="4"/>
      <c r="C89" s="12"/>
      <c r="D89" s="12"/>
      <c r="E89" s="12"/>
      <c r="F89" s="4"/>
      <c r="G89" s="4"/>
      <c r="H89" s="4"/>
      <c r="I89" s="25"/>
      <c r="J89" s="4"/>
    </row>
    <row r="90" ht="15.75" customHeight="1">
      <c r="A90" s="4"/>
      <c r="B90" s="4"/>
      <c r="C90" s="12"/>
      <c r="D90" s="12"/>
      <c r="E90" s="12"/>
      <c r="F90" s="4"/>
      <c r="G90" s="4"/>
      <c r="H90" s="4"/>
      <c r="I90" s="25"/>
      <c r="J90" s="4"/>
    </row>
    <row r="91" ht="15.75" customHeight="1">
      <c r="A91" s="4"/>
      <c r="B91" s="4"/>
      <c r="C91" s="12"/>
      <c r="D91" s="12"/>
      <c r="E91" s="12"/>
      <c r="F91" s="4"/>
      <c r="G91" s="4"/>
      <c r="H91" s="4"/>
      <c r="I91" s="25"/>
      <c r="J91" s="4"/>
    </row>
    <row r="92" ht="15.75" customHeight="1">
      <c r="A92" s="4"/>
      <c r="B92" s="4"/>
      <c r="C92" s="12"/>
      <c r="D92" s="12"/>
      <c r="E92" s="12"/>
      <c r="F92" s="4"/>
      <c r="G92" s="4"/>
      <c r="H92" s="4"/>
      <c r="I92" s="25"/>
      <c r="J92" s="4"/>
    </row>
    <row r="93" ht="15.75" customHeight="1">
      <c r="A93" s="4"/>
      <c r="B93" s="4"/>
      <c r="C93" s="12"/>
      <c r="D93" s="12"/>
      <c r="E93" s="12"/>
      <c r="F93" s="4"/>
      <c r="G93" s="4"/>
      <c r="H93" s="4"/>
      <c r="I93" s="25"/>
      <c r="J93" s="4"/>
    </row>
    <row r="94" ht="15.75" customHeight="1">
      <c r="A94" s="4"/>
      <c r="B94" s="4"/>
      <c r="C94" s="12"/>
      <c r="D94" s="12"/>
      <c r="E94" s="12"/>
      <c r="F94" s="4"/>
      <c r="G94" s="4"/>
      <c r="H94" s="4"/>
      <c r="I94" s="25"/>
      <c r="J94" s="4"/>
    </row>
    <row r="95" ht="15.75" customHeight="1">
      <c r="A95" s="4"/>
      <c r="B95" s="4"/>
      <c r="C95" s="12"/>
      <c r="D95" s="12"/>
      <c r="E95" s="12"/>
      <c r="F95" s="4"/>
      <c r="G95" s="4"/>
      <c r="H95" s="4"/>
      <c r="I95" s="25"/>
      <c r="J95" s="4"/>
    </row>
    <row r="96" ht="15.75" customHeight="1">
      <c r="A96" s="4"/>
      <c r="B96" s="4"/>
      <c r="C96" s="12"/>
      <c r="D96" s="12"/>
      <c r="E96" s="12"/>
      <c r="F96" s="4"/>
      <c r="G96" s="4"/>
      <c r="H96" s="4"/>
      <c r="I96" s="25"/>
      <c r="J96" s="4"/>
    </row>
    <row r="97" ht="15.75" customHeight="1">
      <c r="A97" s="4"/>
      <c r="B97" s="4"/>
      <c r="C97" s="12"/>
      <c r="D97" s="12"/>
      <c r="E97" s="12"/>
      <c r="F97" s="4"/>
      <c r="G97" s="4"/>
      <c r="H97" s="4"/>
      <c r="I97" s="25"/>
      <c r="J97" s="4"/>
    </row>
    <row r="98" ht="15.75" customHeight="1">
      <c r="A98" s="4"/>
      <c r="B98" s="4"/>
      <c r="C98" s="12"/>
      <c r="D98" s="12"/>
      <c r="E98" s="12"/>
      <c r="F98" s="4"/>
      <c r="G98" s="4"/>
      <c r="H98" s="4"/>
      <c r="I98" s="25"/>
      <c r="J98" s="4"/>
    </row>
    <row r="99" ht="15.75" customHeight="1">
      <c r="A99" s="4"/>
      <c r="B99" s="4"/>
      <c r="C99" s="12"/>
      <c r="D99" s="12"/>
      <c r="E99" s="12"/>
      <c r="F99" s="4"/>
      <c r="G99" s="4"/>
      <c r="H99" s="4"/>
      <c r="I99" s="25"/>
      <c r="J99" s="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5.0"/>
    <col customWidth="1" min="3" max="3" width="18.0"/>
    <col customWidth="1" min="4" max="5" width="14.0"/>
    <col customWidth="1" min="6" max="6" width="10.0"/>
    <col customWidth="1" min="7" max="7" width="15.0"/>
    <col customWidth="1" min="8" max="8" width="14.0"/>
    <col customWidth="1" min="9" max="9" width="12.0"/>
    <col customWidth="1" min="10" max="10" width="18.0"/>
    <col customWidth="1" min="11" max="11" width="25.0"/>
    <col customWidth="1" min="12" max="26" width="8.71"/>
  </cols>
  <sheetData>
    <row r="1" ht="27.75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27" t="s">
        <v>37</v>
      </c>
      <c r="B2" s="27" t="s">
        <v>13</v>
      </c>
      <c r="C2" s="27" t="s">
        <v>63</v>
      </c>
      <c r="D2" s="27" t="s">
        <v>1</v>
      </c>
      <c r="E2" s="27" t="s">
        <v>15</v>
      </c>
      <c r="F2" s="27" t="s">
        <v>16</v>
      </c>
      <c r="G2" s="27" t="s">
        <v>8</v>
      </c>
      <c r="H2" s="27" t="s">
        <v>379</v>
      </c>
      <c r="I2" s="27" t="s">
        <v>380</v>
      </c>
      <c r="J2" s="27" t="s">
        <v>381</v>
      </c>
      <c r="K2" s="27" t="s">
        <v>382</v>
      </c>
    </row>
    <row r="3">
      <c r="A3" s="19" t="s">
        <v>309</v>
      </c>
      <c r="B3" s="19" t="s">
        <v>18</v>
      </c>
      <c r="C3" s="19" t="s">
        <v>79</v>
      </c>
      <c r="D3" s="22">
        <f>SUMIF(Ventas!$B:$B,A3,Ventas!$H:$H)</f>
        <v>406155</v>
      </c>
      <c r="E3" s="22">
        <f>SUMIF(Ventas!$B:$B,A3,Ventas!$J:$J)</f>
        <v>68205</v>
      </c>
      <c r="F3" s="19">
        <f>COUNTIF(Pedidos!$C:$C,A3)</f>
        <v>2</v>
      </c>
      <c r="G3" s="22">
        <f t="shared" ref="G3:G14" si="1">IF(F3&gt;0,D3/F3,0)</f>
        <v>203077.5</v>
      </c>
      <c r="H3" s="22" t="str">
        <f>VLOOKUP(A3,Clientes!$B:$T,12,FALSE)</f>
        <v>#N/A</v>
      </c>
      <c r="I3" s="23" t="str">
        <f t="shared" ref="I3:I14" si="2">IF(H3&gt;0,D3/H3,0)</f>
        <v>#N/A</v>
      </c>
      <c r="J3" s="19" t="str">
        <f t="shared" ref="J3:J14" si="3">IF(I3&gt;=1,"Meta cumplida",IF(I3&gt;=0.6,"En avance","Activar"))</f>
        <v>#N/A</v>
      </c>
      <c r="K3" s="19" t="str">
        <f t="shared" ref="K3:K14" si="4">IF(I3&lt;0.6,"Visitar / ofrecer combo",IF(I3&lt;1,"Seguimiento WhatsApp","Mantener frecuencia"))</f>
        <v>#N/A</v>
      </c>
    </row>
    <row r="4">
      <c r="A4" s="19" t="s">
        <v>84</v>
      </c>
      <c r="B4" s="19" t="s">
        <v>18</v>
      </c>
      <c r="C4" s="19" t="s">
        <v>79</v>
      </c>
      <c r="D4" s="22">
        <f>SUMIF(Ventas!$B:$B,A4,Ventas!$H:$H)</f>
        <v>1177833.5</v>
      </c>
      <c r="E4" s="22">
        <f>SUMIF(Ventas!$B:$B,A4,Ventas!$J:$J)</f>
        <v>140173.5</v>
      </c>
      <c r="F4" s="19">
        <f>COUNTIF(Pedidos!$C:$C,A4)</f>
        <v>3</v>
      </c>
      <c r="G4" s="22">
        <f t="shared" si="1"/>
        <v>392611.1667</v>
      </c>
      <c r="H4" s="22">
        <f>VLOOKUP(A4,Clientes!$B:$T,12,FALSE)</f>
        <v>320000</v>
      </c>
      <c r="I4" s="23">
        <f t="shared" si="2"/>
        <v>3.680729688</v>
      </c>
      <c r="J4" s="19" t="str">
        <f t="shared" si="3"/>
        <v>Meta cumplida</v>
      </c>
      <c r="K4" s="19" t="str">
        <f t="shared" si="4"/>
        <v>Mantener frecuencia</v>
      </c>
    </row>
    <row r="5">
      <c r="A5" s="19" t="s">
        <v>93</v>
      </c>
      <c r="B5" s="19" t="s">
        <v>20</v>
      </c>
      <c r="C5" s="19" t="s">
        <v>95</v>
      </c>
      <c r="D5" s="22">
        <f>SUMIF(Ventas!$B:$B,A5,Ventas!$H:$H)</f>
        <v>464247.5</v>
      </c>
      <c r="E5" s="22">
        <f>SUMIF(Ventas!$B:$B,A5,Ventas!$J:$J)</f>
        <v>100347.5</v>
      </c>
      <c r="F5" s="19">
        <f>COUNTIF(Pedidos!$C:$C,A5)</f>
        <v>3</v>
      </c>
      <c r="G5" s="22">
        <f t="shared" si="1"/>
        <v>154749.1667</v>
      </c>
      <c r="H5" s="22">
        <f>VLOOKUP(A5,Clientes!$B:$T,12,FALSE)</f>
        <v>280000</v>
      </c>
      <c r="I5" s="23">
        <f t="shared" si="2"/>
        <v>1.658026786</v>
      </c>
      <c r="J5" s="19" t="str">
        <f t="shared" si="3"/>
        <v>Meta cumplida</v>
      </c>
      <c r="K5" s="19" t="str">
        <f t="shared" si="4"/>
        <v>Mantener frecuencia</v>
      </c>
    </row>
    <row r="6">
      <c r="A6" s="19" t="s">
        <v>105</v>
      </c>
      <c r="B6" s="19" t="s">
        <v>20</v>
      </c>
      <c r="C6" s="19" t="s">
        <v>107</v>
      </c>
      <c r="D6" s="22">
        <f>SUMIF(Ventas!$B:$B,A6,Ventas!$H:$H)</f>
        <v>971207.5</v>
      </c>
      <c r="E6" s="22">
        <f>SUMIF(Ventas!$B:$B,A6,Ventas!$J:$J)</f>
        <v>49707.5</v>
      </c>
      <c r="F6" s="19">
        <f>COUNTIF(Pedidos!$C:$C,A6)</f>
        <v>1</v>
      </c>
      <c r="G6" s="22">
        <f t="shared" si="1"/>
        <v>971207.5</v>
      </c>
      <c r="H6" s="22">
        <f>VLOOKUP(A6,Clientes!$B:$T,12,FALSE)</f>
        <v>520000</v>
      </c>
      <c r="I6" s="23">
        <f t="shared" si="2"/>
        <v>1.867706731</v>
      </c>
      <c r="J6" s="19" t="str">
        <f t="shared" si="3"/>
        <v>Meta cumplida</v>
      </c>
      <c r="K6" s="19" t="str">
        <f t="shared" si="4"/>
        <v>Mantener frecuencia</v>
      </c>
    </row>
    <row r="7">
      <c r="A7" s="19" t="s">
        <v>115</v>
      </c>
      <c r="B7" s="19" t="s">
        <v>18</v>
      </c>
      <c r="C7" s="19" t="s">
        <v>121</v>
      </c>
      <c r="D7" s="22">
        <f>SUMIF(Ventas!$B:$B,A7,Ventas!$H:$H)</f>
        <v>0</v>
      </c>
      <c r="E7" s="22">
        <f>SUMIF(Ventas!$B:$B,A7,Ventas!$J:$J)</f>
        <v>0</v>
      </c>
      <c r="F7" s="19">
        <f>COUNTIF(Pedidos!$C:$C,A7)</f>
        <v>0</v>
      </c>
      <c r="G7" s="22">
        <f t="shared" si="1"/>
        <v>0</v>
      </c>
      <c r="H7" s="22">
        <f>VLOOKUP(A7,Clientes!$B:$T,12,FALSE)</f>
        <v>900000</v>
      </c>
      <c r="I7" s="23">
        <f t="shared" si="2"/>
        <v>0</v>
      </c>
      <c r="J7" s="19" t="str">
        <f t="shared" si="3"/>
        <v>Activar</v>
      </c>
      <c r="K7" s="19" t="str">
        <f t="shared" si="4"/>
        <v>Visitar / ofrecer combo</v>
      </c>
    </row>
    <row r="8">
      <c r="A8" s="19" t="s">
        <v>124</v>
      </c>
      <c r="B8" s="19" t="s">
        <v>18</v>
      </c>
      <c r="C8" s="19" t="s">
        <v>132</v>
      </c>
      <c r="D8" s="22">
        <f>SUMIF(Ventas!$B:$B,A8,Ventas!$H:$H)</f>
        <v>86286</v>
      </c>
      <c r="E8" s="22">
        <f>SUMIF(Ventas!$B:$B,A8,Ventas!$J:$J)</f>
        <v>20586</v>
      </c>
      <c r="F8" s="19">
        <f>COUNTIF(Pedidos!$C:$C,A8)</f>
        <v>1</v>
      </c>
      <c r="G8" s="22">
        <f t="shared" si="1"/>
        <v>86286</v>
      </c>
      <c r="H8" s="22">
        <f>VLOOKUP(A8,Clientes!$B:$T,12,FALSE)</f>
        <v>190000</v>
      </c>
      <c r="I8" s="23">
        <f t="shared" si="2"/>
        <v>0.4541368421</v>
      </c>
      <c r="J8" s="19" t="str">
        <f t="shared" si="3"/>
        <v>Activar</v>
      </c>
      <c r="K8" s="19" t="str">
        <f t="shared" si="4"/>
        <v>Visitar / ofrecer combo</v>
      </c>
    </row>
    <row r="9">
      <c r="A9" s="19" t="s">
        <v>135</v>
      </c>
      <c r="B9" s="19" t="s">
        <v>22</v>
      </c>
      <c r="C9" s="19" t="s">
        <v>137</v>
      </c>
      <c r="D9" s="22">
        <f>SUMIF(Ventas!$B:$B,A9,Ventas!$H:$H)</f>
        <v>650176</v>
      </c>
      <c r="E9" s="22">
        <f>SUMIF(Ventas!$B:$B,A9,Ventas!$J:$J)</f>
        <v>106876</v>
      </c>
      <c r="F9" s="19">
        <f>COUNTIF(Pedidos!$C:$C,A9)</f>
        <v>2</v>
      </c>
      <c r="G9" s="22">
        <f t="shared" si="1"/>
        <v>325088</v>
      </c>
      <c r="H9" s="22">
        <f>VLOOKUP(A9,Clientes!$B:$T,12,FALSE)</f>
        <v>260000</v>
      </c>
      <c r="I9" s="23">
        <f t="shared" si="2"/>
        <v>2.500676923</v>
      </c>
      <c r="J9" s="19" t="str">
        <f t="shared" si="3"/>
        <v>Meta cumplida</v>
      </c>
      <c r="K9" s="19" t="str">
        <f t="shared" si="4"/>
        <v>Mantener frecuencia</v>
      </c>
    </row>
    <row r="10">
      <c r="A10" s="19" t="s">
        <v>144</v>
      </c>
      <c r="B10" s="19" t="s">
        <v>20</v>
      </c>
      <c r="C10" s="19" t="s">
        <v>146</v>
      </c>
      <c r="D10" s="22">
        <f>SUMIF(Ventas!$B:$B,A10,Ventas!$H:$H)</f>
        <v>770357.5</v>
      </c>
      <c r="E10" s="22">
        <f>SUMIF(Ventas!$B:$B,A10,Ventas!$J:$J)</f>
        <v>162907.5</v>
      </c>
      <c r="F10" s="19">
        <f>COUNTIF(Pedidos!$C:$C,A10)</f>
        <v>4</v>
      </c>
      <c r="G10" s="22">
        <f t="shared" si="1"/>
        <v>192589.375</v>
      </c>
      <c r="H10" s="22">
        <f>VLOOKUP(A10,Clientes!$B:$T,12,FALSE)</f>
        <v>300000</v>
      </c>
      <c r="I10" s="23">
        <f t="shared" si="2"/>
        <v>2.567858333</v>
      </c>
      <c r="J10" s="19" t="str">
        <f t="shared" si="3"/>
        <v>Meta cumplida</v>
      </c>
      <c r="K10" s="19" t="str">
        <f t="shared" si="4"/>
        <v>Mantener frecuencia</v>
      </c>
    </row>
    <row r="11">
      <c r="A11" s="19" t="s">
        <v>154</v>
      </c>
      <c r="B11" s="19" t="s">
        <v>24</v>
      </c>
      <c r="C11" s="19" t="s">
        <v>79</v>
      </c>
      <c r="D11" s="22">
        <f>SUMIF(Ventas!$B:$B,A11,Ventas!$H:$H)</f>
        <v>272802.5</v>
      </c>
      <c r="E11" s="22">
        <f>SUMIF(Ventas!$B:$B,A11,Ventas!$J:$J)</f>
        <v>60532.5</v>
      </c>
      <c r="F11" s="19">
        <f>COUNTIF(Pedidos!$C:$C,A11)</f>
        <v>2</v>
      </c>
      <c r="G11" s="22">
        <f t="shared" si="1"/>
        <v>136401.25</v>
      </c>
      <c r="H11" s="22">
        <f>VLOOKUP(A11,Clientes!$B:$T,12,FALSE)</f>
        <v>380000</v>
      </c>
      <c r="I11" s="23">
        <f t="shared" si="2"/>
        <v>0.7179013158</v>
      </c>
      <c r="J11" s="19" t="str">
        <f t="shared" si="3"/>
        <v>En avance</v>
      </c>
      <c r="K11" s="19" t="str">
        <f t="shared" si="4"/>
        <v>Seguimiento WhatsApp</v>
      </c>
    </row>
    <row r="12">
      <c r="A12" s="19" t="s">
        <v>163</v>
      </c>
      <c r="B12" s="19" t="s">
        <v>26</v>
      </c>
      <c r="C12" s="19" t="s">
        <v>165</v>
      </c>
      <c r="D12" s="22">
        <f>SUMIF(Ventas!$B:$B,A12,Ventas!$H:$H)</f>
        <v>470514</v>
      </c>
      <c r="E12" s="22">
        <f>SUMIF(Ventas!$B:$B,A12,Ventas!$J:$J)</f>
        <v>84564</v>
      </c>
      <c r="F12" s="19">
        <f>COUNTIF(Pedidos!$C:$C,A12)</f>
        <v>2</v>
      </c>
      <c r="G12" s="22">
        <f t="shared" si="1"/>
        <v>235257</v>
      </c>
      <c r="H12" s="22">
        <f>VLOOKUP(A12,Clientes!$B:$T,12,FALSE)</f>
        <v>240000</v>
      </c>
      <c r="I12" s="23">
        <f t="shared" si="2"/>
        <v>1.960475</v>
      </c>
      <c r="J12" s="19" t="str">
        <f t="shared" si="3"/>
        <v>Meta cumplida</v>
      </c>
      <c r="K12" s="19" t="str">
        <f t="shared" si="4"/>
        <v>Mantener frecuencia</v>
      </c>
    </row>
    <row r="13">
      <c r="A13" s="19" t="s">
        <v>172</v>
      </c>
      <c r="B13" s="19" t="s">
        <v>18</v>
      </c>
      <c r="C13" s="19" t="s">
        <v>79</v>
      </c>
      <c r="D13" s="22">
        <f>SUMIF(Ventas!$B:$B,A13,Ventas!$H:$H)</f>
        <v>44190</v>
      </c>
      <c r="E13" s="22">
        <f>SUMIF(Ventas!$B:$B,A13,Ventas!$J:$J)</f>
        <v>10390</v>
      </c>
      <c r="F13" s="19">
        <f>COUNTIF(Pedidos!$C:$C,A13)</f>
        <v>1</v>
      </c>
      <c r="G13" s="22">
        <f t="shared" si="1"/>
        <v>44190</v>
      </c>
      <c r="H13" s="22">
        <f>VLOOKUP(A13,Clientes!$B:$T,12,FALSE)</f>
        <v>180000</v>
      </c>
      <c r="I13" s="23">
        <f t="shared" si="2"/>
        <v>0.2455</v>
      </c>
      <c r="J13" s="19" t="str">
        <f t="shared" si="3"/>
        <v>Activar</v>
      </c>
      <c r="K13" s="19" t="str">
        <f t="shared" si="4"/>
        <v>Visitar / ofrecer combo</v>
      </c>
    </row>
    <row r="14">
      <c r="A14" s="19" t="s">
        <v>180</v>
      </c>
      <c r="B14" s="19" t="s">
        <v>30</v>
      </c>
      <c r="C14" s="19" t="s">
        <v>182</v>
      </c>
      <c r="D14" s="22">
        <f>SUMIF(Ventas!$B:$B,A14,Ventas!$H:$H)</f>
        <v>115450</v>
      </c>
      <c r="E14" s="22">
        <f>SUMIF(Ventas!$B:$B,A14,Ventas!$J:$J)</f>
        <v>18100</v>
      </c>
      <c r="F14" s="19">
        <f>COUNTIF(Pedidos!$C:$C,A14)</f>
        <v>1</v>
      </c>
      <c r="G14" s="22">
        <f t="shared" si="1"/>
        <v>115450</v>
      </c>
      <c r="H14" s="22">
        <f>VLOOKUP(A14,Clientes!$B:$T,12,FALSE)</f>
        <v>350000</v>
      </c>
      <c r="I14" s="23">
        <f t="shared" si="2"/>
        <v>0.3298571429</v>
      </c>
      <c r="J14" s="19" t="str">
        <f t="shared" si="3"/>
        <v>Activar</v>
      </c>
      <c r="K14" s="19" t="str">
        <f t="shared" si="4"/>
        <v>Visitar / ofrecer combo</v>
      </c>
    </row>
    <row r="15">
      <c r="A15" s="4"/>
      <c r="B15" s="4"/>
      <c r="C15" s="4"/>
      <c r="D15" s="12"/>
      <c r="E15" s="12"/>
      <c r="F15" s="4"/>
      <c r="G15" s="12"/>
      <c r="H15" s="12"/>
      <c r="I15" s="25"/>
      <c r="J15" s="4"/>
      <c r="K15" s="4"/>
    </row>
    <row r="16">
      <c r="A16" s="4"/>
      <c r="B16" s="4"/>
      <c r="C16" s="4"/>
      <c r="D16" s="12"/>
      <c r="E16" s="12"/>
      <c r="F16" s="4"/>
      <c r="G16" s="12"/>
      <c r="H16" s="12"/>
      <c r="I16" s="25"/>
      <c r="J16" s="4"/>
      <c r="K16" s="4"/>
    </row>
    <row r="17">
      <c r="A17" s="4"/>
      <c r="B17" s="4"/>
      <c r="C17" s="4"/>
      <c r="D17" s="12"/>
      <c r="E17" s="12"/>
      <c r="F17" s="4"/>
      <c r="G17" s="12"/>
      <c r="H17" s="12"/>
      <c r="I17" s="25"/>
      <c r="J17" s="4"/>
      <c r="K17" s="4"/>
    </row>
    <row r="18">
      <c r="A18" s="4"/>
      <c r="B18" s="4"/>
      <c r="C18" s="4"/>
      <c r="D18" s="12"/>
      <c r="E18" s="12"/>
      <c r="F18" s="4"/>
      <c r="G18" s="12"/>
      <c r="H18" s="12"/>
      <c r="I18" s="25"/>
      <c r="J18" s="4"/>
      <c r="K18" s="4"/>
    </row>
    <row r="19">
      <c r="A19" s="4"/>
      <c r="B19" s="4"/>
      <c r="C19" s="4"/>
      <c r="D19" s="12"/>
      <c r="E19" s="12"/>
      <c r="F19" s="4"/>
      <c r="G19" s="12"/>
      <c r="H19" s="12"/>
      <c r="I19" s="25"/>
      <c r="J19" s="4"/>
      <c r="K19" s="4"/>
    </row>
    <row r="20">
      <c r="A20" s="4"/>
      <c r="B20" s="4"/>
      <c r="C20" s="4"/>
      <c r="D20" s="12"/>
      <c r="E20" s="12"/>
      <c r="F20" s="4"/>
      <c r="G20" s="12"/>
      <c r="H20" s="12"/>
      <c r="I20" s="25"/>
      <c r="J20" s="4"/>
      <c r="K20" s="4"/>
    </row>
    <row r="21" ht="15.75" customHeight="1">
      <c r="A21" s="4"/>
      <c r="B21" s="4"/>
      <c r="C21" s="4"/>
      <c r="D21" s="12"/>
      <c r="E21" s="12"/>
      <c r="F21" s="4"/>
      <c r="G21" s="12"/>
      <c r="H21" s="12"/>
      <c r="I21" s="25"/>
      <c r="J21" s="4"/>
      <c r="K21" s="4"/>
    </row>
    <row r="22" ht="15.75" customHeight="1">
      <c r="A22" s="4"/>
      <c r="B22" s="4"/>
      <c r="C22" s="4"/>
      <c r="D22" s="12"/>
      <c r="E22" s="12"/>
      <c r="F22" s="4"/>
      <c r="G22" s="12"/>
      <c r="H22" s="12"/>
      <c r="I22" s="25"/>
      <c r="J22" s="4"/>
      <c r="K22" s="4"/>
    </row>
    <row r="23" ht="15.75" customHeight="1">
      <c r="A23" s="4"/>
      <c r="B23" s="4"/>
      <c r="C23" s="4"/>
      <c r="D23" s="12"/>
      <c r="E23" s="12"/>
      <c r="F23" s="4"/>
      <c r="G23" s="12"/>
      <c r="H23" s="12"/>
      <c r="I23" s="25"/>
      <c r="J23" s="4"/>
      <c r="K23" s="4"/>
    </row>
    <row r="24" ht="15.75" customHeight="1">
      <c r="A24" s="4"/>
      <c r="B24" s="4"/>
      <c r="C24" s="4"/>
      <c r="D24" s="12"/>
      <c r="E24" s="12"/>
      <c r="F24" s="4"/>
      <c r="G24" s="12"/>
      <c r="H24" s="12"/>
      <c r="I24" s="25"/>
      <c r="J24" s="4"/>
      <c r="K24" s="4"/>
    </row>
    <row r="25" ht="15.75" customHeight="1">
      <c r="A25" s="4"/>
      <c r="B25" s="4"/>
      <c r="C25" s="4"/>
      <c r="D25" s="12"/>
      <c r="E25" s="12"/>
      <c r="F25" s="4"/>
      <c r="G25" s="12"/>
      <c r="H25" s="12"/>
      <c r="I25" s="25"/>
      <c r="J25" s="4"/>
      <c r="K25" s="4"/>
    </row>
    <row r="26" ht="15.75" customHeight="1">
      <c r="A26" s="4"/>
      <c r="B26" s="4"/>
      <c r="C26" s="4"/>
      <c r="D26" s="12"/>
      <c r="E26" s="12"/>
      <c r="F26" s="4"/>
      <c r="G26" s="12"/>
      <c r="H26" s="12"/>
      <c r="I26" s="25"/>
      <c r="J26" s="4"/>
      <c r="K26" s="4"/>
    </row>
    <row r="27" ht="15.75" customHeight="1">
      <c r="A27" s="4"/>
      <c r="B27" s="4"/>
      <c r="C27" s="4"/>
      <c r="D27" s="12"/>
      <c r="E27" s="12"/>
      <c r="F27" s="4"/>
      <c r="G27" s="12"/>
      <c r="H27" s="12"/>
      <c r="I27" s="25"/>
      <c r="J27" s="4"/>
      <c r="K27" s="4"/>
    </row>
    <row r="28" ht="15.75" customHeight="1">
      <c r="A28" s="4"/>
      <c r="B28" s="4"/>
      <c r="C28" s="4"/>
      <c r="D28" s="12"/>
      <c r="E28" s="12"/>
      <c r="F28" s="4"/>
      <c r="G28" s="12"/>
      <c r="H28" s="12"/>
      <c r="I28" s="25"/>
      <c r="J28" s="4"/>
      <c r="K28" s="4"/>
    </row>
    <row r="29" ht="15.75" customHeight="1">
      <c r="A29" s="4"/>
      <c r="B29" s="4"/>
      <c r="C29" s="4"/>
      <c r="D29" s="12"/>
      <c r="E29" s="12"/>
      <c r="F29" s="4"/>
      <c r="G29" s="12"/>
      <c r="H29" s="12"/>
      <c r="I29" s="25"/>
      <c r="J29" s="4"/>
      <c r="K29" s="4"/>
    </row>
    <row r="30" ht="15.75" customHeight="1">
      <c r="A30" s="4"/>
      <c r="B30" s="4"/>
      <c r="C30" s="4"/>
      <c r="D30" s="12"/>
      <c r="E30" s="12"/>
      <c r="F30" s="4"/>
      <c r="G30" s="12"/>
      <c r="H30" s="12"/>
      <c r="I30" s="25"/>
      <c r="J30" s="4"/>
      <c r="K30" s="4"/>
    </row>
    <row r="31" ht="15.75" customHeight="1">
      <c r="A31" s="4"/>
      <c r="B31" s="4"/>
      <c r="C31" s="4"/>
      <c r="D31" s="12"/>
      <c r="E31" s="12"/>
      <c r="F31" s="4"/>
      <c r="G31" s="12"/>
      <c r="H31" s="12"/>
      <c r="I31" s="25"/>
      <c r="J31" s="4"/>
      <c r="K31" s="4"/>
    </row>
    <row r="32" ht="15.75" customHeight="1">
      <c r="A32" s="4"/>
      <c r="B32" s="4"/>
      <c r="C32" s="4"/>
      <c r="D32" s="12"/>
      <c r="E32" s="12"/>
      <c r="F32" s="4"/>
      <c r="G32" s="12"/>
      <c r="H32" s="12"/>
      <c r="I32" s="25"/>
      <c r="J32" s="4"/>
      <c r="K32" s="4"/>
    </row>
    <row r="33" ht="15.75" customHeight="1">
      <c r="A33" s="4"/>
      <c r="B33" s="4"/>
      <c r="C33" s="4"/>
      <c r="D33" s="12"/>
      <c r="E33" s="12"/>
      <c r="F33" s="4"/>
      <c r="G33" s="12"/>
      <c r="H33" s="12"/>
      <c r="I33" s="25"/>
      <c r="J33" s="4"/>
      <c r="K33" s="4"/>
    </row>
    <row r="34" ht="15.75" customHeight="1">
      <c r="A34" s="4"/>
      <c r="B34" s="4"/>
      <c r="C34" s="4"/>
      <c r="D34" s="12"/>
      <c r="E34" s="12"/>
      <c r="F34" s="4"/>
      <c r="G34" s="12"/>
      <c r="H34" s="12"/>
      <c r="I34" s="25"/>
      <c r="J34" s="4"/>
      <c r="K34" s="4"/>
    </row>
    <row r="35" ht="15.75" customHeight="1">
      <c r="A35" s="4"/>
      <c r="B35" s="4"/>
      <c r="C35" s="4"/>
      <c r="D35" s="12"/>
      <c r="E35" s="12"/>
      <c r="F35" s="4"/>
      <c r="G35" s="12"/>
      <c r="H35" s="12"/>
      <c r="I35" s="25"/>
      <c r="J35" s="4"/>
      <c r="K35" s="4"/>
    </row>
    <row r="36" ht="15.75" customHeight="1">
      <c r="A36" s="4"/>
      <c r="B36" s="4"/>
      <c r="C36" s="4"/>
      <c r="D36" s="12"/>
      <c r="E36" s="12"/>
      <c r="F36" s="4"/>
      <c r="G36" s="12"/>
      <c r="H36" s="12"/>
      <c r="I36" s="25"/>
      <c r="J36" s="4"/>
      <c r="K36" s="4"/>
    </row>
    <row r="37" ht="15.75" customHeight="1">
      <c r="A37" s="4"/>
      <c r="B37" s="4"/>
      <c r="C37" s="4"/>
      <c r="D37" s="12"/>
      <c r="E37" s="12"/>
      <c r="F37" s="4"/>
      <c r="G37" s="12"/>
      <c r="H37" s="12"/>
      <c r="I37" s="25"/>
      <c r="J37" s="4"/>
      <c r="K37" s="4"/>
    </row>
    <row r="38" ht="15.75" customHeight="1">
      <c r="A38" s="4"/>
      <c r="B38" s="4"/>
      <c r="C38" s="4"/>
      <c r="D38" s="12"/>
      <c r="E38" s="12"/>
      <c r="F38" s="4"/>
      <c r="G38" s="12"/>
      <c r="H38" s="12"/>
      <c r="I38" s="25"/>
      <c r="J38" s="4"/>
      <c r="K38" s="4"/>
    </row>
    <row r="39" ht="15.75" customHeight="1">
      <c r="A39" s="4"/>
      <c r="B39" s="4"/>
      <c r="C39" s="4"/>
      <c r="D39" s="12"/>
      <c r="E39" s="12"/>
      <c r="F39" s="4"/>
      <c r="G39" s="12"/>
      <c r="H39" s="12"/>
      <c r="I39" s="25"/>
      <c r="J39" s="4"/>
      <c r="K39" s="4"/>
    </row>
    <row r="40" ht="15.75" customHeight="1">
      <c r="A40" s="4"/>
      <c r="B40" s="4"/>
      <c r="C40" s="4"/>
      <c r="D40" s="12"/>
      <c r="E40" s="12"/>
      <c r="F40" s="4"/>
      <c r="G40" s="12"/>
      <c r="H40" s="12"/>
      <c r="I40" s="25"/>
      <c r="J40" s="4"/>
      <c r="K40" s="4"/>
    </row>
    <row r="41" ht="15.75" customHeight="1">
      <c r="A41" s="4"/>
      <c r="B41" s="4"/>
      <c r="C41" s="4"/>
      <c r="D41" s="12"/>
      <c r="E41" s="12"/>
      <c r="F41" s="4"/>
      <c r="G41" s="12"/>
      <c r="H41" s="12"/>
      <c r="I41" s="25"/>
      <c r="J41" s="4"/>
      <c r="K41" s="4"/>
    </row>
    <row r="42" ht="15.75" customHeight="1">
      <c r="A42" s="4"/>
      <c r="B42" s="4"/>
      <c r="C42" s="4"/>
      <c r="D42" s="12"/>
      <c r="E42" s="12"/>
      <c r="F42" s="4"/>
      <c r="G42" s="12"/>
      <c r="H42" s="12"/>
      <c r="I42" s="25"/>
      <c r="J42" s="4"/>
      <c r="K42" s="4"/>
    </row>
    <row r="43" ht="15.75" customHeight="1">
      <c r="A43" s="4"/>
      <c r="B43" s="4"/>
      <c r="C43" s="4"/>
      <c r="D43" s="12"/>
      <c r="E43" s="12"/>
      <c r="F43" s="4"/>
      <c r="G43" s="12"/>
      <c r="H43" s="12"/>
      <c r="I43" s="25"/>
      <c r="J43" s="4"/>
      <c r="K43" s="4"/>
    </row>
    <row r="44" ht="15.75" customHeight="1">
      <c r="A44" s="4"/>
      <c r="B44" s="4"/>
      <c r="C44" s="4"/>
      <c r="D44" s="12"/>
      <c r="E44" s="12"/>
      <c r="F44" s="4"/>
      <c r="G44" s="12"/>
      <c r="H44" s="12"/>
      <c r="I44" s="25"/>
      <c r="J44" s="4"/>
      <c r="K44" s="4"/>
    </row>
    <row r="45" ht="15.75" customHeight="1">
      <c r="A45" s="4"/>
      <c r="B45" s="4"/>
      <c r="C45" s="4"/>
      <c r="D45" s="12"/>
      <c r="E45" s="12"/>
      <c r="F45" s="4"/>
      <c r="G45" s="12"/>
      <c r="H45" s="12"/>
      <c r="I45" s="25"/>
      <c r="J45" s="4"/>
      <c r="K45" s="4"/>
    </row>
    <row r="46" ht="15.75" customHeight="1">
      <c r="A46" s="4"/>
      <c r="B46" s="4"/>
      <c r="C46" s="4"/>
      <c r="D46" s="12"/>
      <c r="E46" s="12"/>
      <c r="F46" s="4"/>
      <c r="G46" s="12"/>
      <c r="H46" s="12"/>
      <c r="I46" s="25"/>
      <c r="J46" s="4"/>
      <c r="K46" s="4"/>
    </row>
    <row r="47" ht="15.75" customHeight="1">
      <c r="A47" s="4"/>
      <c r="B47" s="4"/>
      <c r="C47" s="4"/>
      <c r="D47" s="12"/>
      <c r="E47" s="12"/>
      <c r="F47" s="4"/>
      <c r="G47" s="12"/>
      <c r="H47" s="12"/>
      <c r="I47" s="25"/>
      <c r="J47" s="4"/>
      <c r="K47" s="4"/>
    </row>
    <row r="48" ht="15.75" customHeight="1">
      <c r="A48" s="4"/>
      <c r="B48" s="4"/>
      <c r="C48" s="4"/>
      <c r="D48" s="12"/>
      <c r="E48" s="12"/>
      <c r="F48" s="4"/>
      <c r="G48" s="12"/>
      <c r="H48" s="12"/>
      <c r="I48" s="25"/>
      <c r="J48" s="4"/>
      <c r="K48" s="4"/>
    </row>
    <row r="49" ht="15.75" customHeight="1">
      <c r="A49" s="4"/>
      <c r="B49" s="4"/>
      <c r="C49" s="4"/>
      <c r="D49" s="12"/>
      <c r="E49" s="12"/>
      <c r="F49" s="4"/>
      <c r="G49" s="12"/>
      <c r="H49" s="12"/>
      <c r="I49" s="25"/>
      <c r="J49" s="4"/>
      <c r="K49" s="4"/>
    </row>
    <row r="50" ht="15.75" customHeight="1">
      <c r="A50" s="4"/>
      <c r="B50" s="4"/>
      <c r="C50" s="4"/>
      <c r="D50" s="12"/>
      <c r="E50" s="12"/>
      <c r="F50" s="4"/>
      <c r="G50" s="12"/>
      <c r="H50" s="12"/>
      <c r="I50" s="25"/>
      <c r="J50" s="4"/>
      <c r="K50" s="4"/>
    </row>
    <row r="51" ht="15.75" customHeight="1">
      <c r="A51" s="4"/>
      <c r="B51" s="4"/>
      <c r="C51" s="4"/>
      <c r="D51" s="12"/>
      <c r="E51" s="12"/>
      <c r="F51" s="4"/>
      <c r="G51" s="12"/>
      <c r="H51" s="12"/>
      <c r="I51" s="25"/>
      <c r="J51" s="4"/>
      <c r="K51" s="4"/>
    </row>
    <row r="52" ht="15.75" customHeight="1">
      <c r="A52" s="4"/>
      <c r="B52" s="4"/>
      <c r="C52" s="4"/>
      <c r="D52" s="12"/>
      <c r="E52" s="12"/>
      <c r="F52" s="4"/>
      <c r="G52" s="12"/>
      <c r="H52" s="12"/>
      <c r="I52" s="25"/>
      <c r="J52" s="4"/>
      <c r="K52" s="4"/>
    </row>
    <row r="53" ht="15.75" customHeight="1">
      <c r="A53" s="4"/>
      <c r="B53" s="4"/>
      <c r="C53" s="4"/>
      <c r="D53" s="12"/>
      <c r="E53" s="12"/>
      <c r="F53" s="4"/>
      <c r="G53" s="12"/>
      <c r="H53" s="12"/>
      <c r="I53" s="25"/>
      <c r="J53" s="4"/>
      <c r="K53" s="4"/>
    </row>
    <row r="54" ht="15.75" customHeight="1">
      <c r="A54" s="4"/>
      <c r="B54" s="4"/>
      <c r="C54" s="4"/>
      <c r="D54" s="12"/>
      <c r="E54" s="12"/>
      <c r="F54" s="4"/>
      <c r="G54" s="12"/>
      <c r="H54" s="12"/>
      <c r="I54" s="25"/>
      <c r="J54" s="4"/>
      <c r="K54" s="4"/>
    </row>
    <row r="55" ht="15.75" customHeight="1">
      <c r="A55" s="4"/>
      <c r="B55" s="4"/>
      <c r="C55" s="4"/>
      <c r="D55" s="12"/>
      <c r="E55" s="12"/>
      <c r="F55" s="4"/>
      <c r="G55" s="12"/>
      <c r="H55" s="12"/>
      <c r="I55" s="25"/>
      <c r="J55" s="4"/>
      <c r="K55" s="4"/>
    </row>
    <row r="56" ht="15.75" customHeight="1">
      <c r="A56" s="4"/>
      <c r="B56" s="4"/>
      <c r="C56" s="4"/>
      <c r="D56" s="12"/>
      <c r="E56" s="12"/>
      <c r="F56" s="4"/>
      <c r="G56" s="12"/>
      <c r="H56" s="12"/>
      <c r="I56" s="25"/>
      <c r="J56" s="4"/>
      <c r="K56" s="4"/>
    </row>
    <row r="57" ht="15.75" customHeight="1">
      <c r="A57" s="4"/>
      <c r="B57" s="4"/>
      <c r="C57" s="4"/>
      <c r="D57" s="12"/>
      <c r="E57" s="12"/>
      <c r="F57" s="4"/>
      <c r="G57" s="12"/>
      <c r="H57" s="12"/>
      <c r="I57" s="25"/>
      <c r="J57" s="4"/>
      <c r="K57" s="4"/>
    </row>
    <row r="58" ht="15.75" customHeight="1">
      <c r="A58" s="4"/>
      <c r="B58" s="4"/>
      <c r="C58" s="4"/>
      <c r="D58" s="12"/>
      <c r="E58" s="12"/>
      <c r="F58" s="4"/>
      <c r="G58" s="12"/>
      <c r="H58" s="12"/>
      <c r="I58" s="25"/>
      <c r="J58" s="4"/>
      <c r="K58" s="4"/>
    </row>
    <row r="59" ht="15.75" customHeight="1">
      <c r="A59" s="4"/>
      <c r="B59" s="4"/>
      <c r="C59" s="4"/>
      <c r="D59" s="12"/>
      <c r="E59" s="12"/>
      <c r="F59" s="4"/>
      <c r="G59" s="12"/>
      <c r="H59" s="12"/>
      <c r="I59" s="25"/>
      <c r="J59" s="4"/>
      <c r="K59" s="4"/>
    </row>
    <row r="60" ht="15.75" customHeight="1">
      <c r="A60" s="4"/>
      <c r="B60" s="4"/>
      <c r="C60" s="4"/>
      <c r="D60" s="12"/>
      <c r="E60" s="12"/>
      <c r="F60" s="4"/>
      <c r="G60" s="12"/>
      <c r="H60" s="12"/>
      <c r="I60" s="25"/>
      <c r="J60" s="4"/>
      <c r="K60" s="4"/>
    </row>
    <row r="61" ht="15.75" customHeight="1">
      <c r="A61" s="4"/>
      <c r="B61" s="4"/>
      <c r="C61" s="4"/>
      <c r="D61" s="12"/>
      <c r="E61" s="12"/>
      <c r="F61" s="4"/>
      <c r="G61" s="12"/>
      <c r="H61" s="12"/>
      <c r="I61" s="25"/>
      <c r="J61" s="4"/>
      <c r="K61" s="4"/>
    </row>
    <row r="62" ht="15.75" customHeight="1">
      <c r="A62" s="4"/>
      <c r="B62" s="4"/>
      <c r="C62" s="4"/>
      <c r="D62" s="12"/>
      <c r="E62" s="12"/>
      <c r="F62" s="4"/>
      <c r="G62" s="12"/>
      <c r="H62" s="12"/>
      <c r="I62" s="25"/>
      <c r="J62" s="4"/>
      <c r="K62" s="4"/>
    </row>
    <row r="63" ht="15.75" customHeight="1">
      <c r="A63" s="4"/>
      <c r="B63" s="4"/>
      <c r="C63" s="4"/>
      <c r="D63" s="12"/>
      <c r="E63" s="12"/>
      <c r="F63" s="4"/>
      <c r="G63" s="12"/>
      <c r="H63" s="12"/>
      <c r="I63" s="25"/>
      <c r="J63" s="4"/>
      <c r="K63" s="4"/>
    </row>
    <row r="64" ht="15.75" customHeight="1">
      <c r="A64" s="4"/>
      <c r="B64" s="4"/>
      <c r="C64" s="4"/>
      <c r="D64" s="12"/>
      <c r="E64" s="12"/>
      <c r="F64" s="4"/>
      <c r="G64" s="12"/>
      <c r="H64" s="12"/>
      <c r="I64" s="25"/>
      <c r="J64" s="4"/>
      <c r="K64" s="4"/>
    </row>
    <row r="65" ht="15.75" customHeight="1">
      <c r="A65" s="4"/>
      <c r="B65" s="4"/>
      <c r="C65" s="4"/>
      <c r="D65" s="12"/>
      <c r="E65" s="12"/>
      <c r="F65" s="4"/>
      <c r="G65" s="12"/>
      <c r="H65" s="12"/>
      <c r="I65" s="25"/>
      <c r="J65" s="4"/>
      <c r="K65" s="4"/>
    </row>
    <row r="66" ht="15.75" customHeight="1">
      <c r="A66" s="4"/>
      <c r="B66" s="4"/>
      <c r="C66" s="4"/>
      <c r="D66" s="12"/>
      <c r="E66" s="12"/>
      <c r="F66" s="4"/>
      <c r="G66" s="12"/>
      <c r="H66" s="12"/>
      <c r="I66" s="25"/>
      <c r="J66" s="4"/>
      <c r="K66" s="4"/>
    </row>
    <row r="67" ht="15.75" customHeight="1">
      <c r="A67" s="4"/>
      <c r="B67" s="4"/>
      <c r="C67" s="4"/>
      <c r="D67" s="12"/>
      <c r="E67" s="12"/>
      <c r="F67" s="4"/>
      <c r="G67" s="12"/>
      <c r="H67" s="12"/>
      <c r="I67" s="25"/>
      <c r="J67" s="4"/>
      <c r="K67" s="4"/>
    </row>
    <row r="68" ht="15.75" customHeight="1">
      <c r="A68" s="4"/>
      <c r="B68" s="4"/>
      <c r="C68" s="4"/>
      <c r="D68" s="12"/>
      <c r="E68" s="12"/>
      <c r="F68" s="4"/>
      <c r="G68" s="12"/>
      <c r="H68" s="12"/>
      <c r="I68" s="25"/>
      <c r="J68" s="4"/>
      <c r="K68" s="4"/>
    </row>
    <row r="69" ht="15.75" customHeight="1">
      <c r="A69" s="4"/>
      <c r="B69" s="4"/>
      <c r="C69" s="4"/>
      <c r="D69" s="12"/>
      <c r="E69" s="12"/>
      <c r="F69" s="4"/>
      <c r="G69" s="12"/>
      <c r="H69" s="12"/>
      <c r="I69" s="25"/>
      <c r="J69" s="4"/>
      <c r="K69" s="4"/>
    </row>
    <row r="70" ht="15.75" customHeight="1">
      <c r="A70" s="4"/>
      <c r="B70" s="4"/>
      <c r="C70" s="4"/>
      <c r="D70" s="12"/>
      <c r="E70" s="12"/>
      <c r="F70" s="4"/>
      <c r="G70" s="12"/>
      <c r="H70" s="12"/>
      <c r="I70" s="25"/>
      <c r="J70" s="4"/>
      <c r="K70" s="4"/>
    </row>
    <row r="71" ht="15.75" customHeight="1">
      <c r="A71" s="4"/>
      <c r="B71" s="4"/>
      <c r="C71" s="4"/>
      <c r="D71" s="12"/>
      <c r="E71" s="12"/>
      <c r="F71" s="4"/>
      <c r="G71" s="12"/>
      <c r="H71" s="12"/>
      <c r="I71" s="25"/>
      <c r="J71" s="4"/>
      <c r="K71" s="4"/>
    </row>
    <row r="72" ht="15.75" customHeight="1">
      <c r="A72" s="4"/>
      <c r="B72" s="4"/>
      <c r="C72" s="4"/>
      <c r="D72" s="12"/>
      <c r="E72" s="12"/>
      <c r="F72" s="4"/>
      <c r="G72" s="12"/>
      <c r="H72" s="12"/>
      <c r="I72" s="25"/>
      <c r="J72" s="4"/>
      <c r="K72" s="4"/>
    </row>
    <row r="73" ht="15.75" customHeight="1">
      <c r="A73" s="4"/>
      <c r="B73" s="4"/>
      <c r="C73" s="4"/>
      <c r="D73" s="12"/>
      <c r="E73" s="12"/>
      <c r="F73" s="4"/>
      <c r="G73" s="12"/>
      <c r="H73" s="12"/>
      <c r="I73" s="25"/>
      <c r="J73" s="4"/>
      <c r="K73" s="4"/>
    </row>
    <row r="74" ht="15.75" customHeight="1">
      <c r="A74" s="4"/>
      <c r="B74" s="4"/>
      <c r="C74" s="4"/>
      <c r="D74" s="12"/>
      <c r="E74" s="12"/>
      <c r="F74" s="4"/>
      <c r="G74" s="12"/>
      <c r="H74" s="12"/>
      <c r="I74" s="25"/>
      <c r="J74" s="4"/>
      <c r="K74" s="4"/>
    </row>
    <row r="75" ht="15.75" customHeight="1">
      <c r="A75" s="4"/>
      <c r="B75" s="4"/>
      <c r="C75" s="4"/>
      <c r="D75" s="12"/>
      <c r="E75" s="12"/>
      <c r="F75" s="4"/>
      <c r="G75" s="12"/>
      <c r="H75" s="12"/>
      <c r="I75" s="25"/>
      <c r="J75" s="4"/>
      <c r="K75" s="4"/>
    </row>
    <row r="76" ht="15.75" customHeight="1">
      <c r="A76" s="4"/>
      <c r="B76" s="4"/>
      <c r="C76" s="4"/>
      <c r="D76" s="12"/>
      <c r="E76" s="12"/>
      <c r="F76" s="4"/>
      <c r="G76" s="12"/>
      <c r="H76" s="12"/>
      <c r="I76" s="25"/>
      <c r="J76" s="4"/>
      <c r="K76" s="4"/>
    </row>
    <row r="77" ht="15.75" customHeight="1">
      <c r="A77" s="4"/>
      <c r="B77" s="4"/>
      <c r="C77" s="4"/>
      <c r="D77" s="12"/>
      <c r="E77" s="12"/>
      <c r="F77" s="4"/>
      <c r="G77" s="12"/>
      <c r="H77" s="12"/>
      <c r="I77" s="25"/>
      <c r="J77" s="4"/>
      <c r="K77" s="4"/>
    </row>
    <row r="78" ht="15.75" customHeight="1">
      <c r="A78" s="4"/>
      <c r="B78" s="4"/>
      <c r="C78" s="4"/>
      <c r="D78" s="12"/>
      <c r="E78" s="12"/>
      <c r="F78" s="4"/>
      <c r="G78" s="12"/>
      <c r="H78" s="12"/>
      <c r="I78" s="25"/>
      <c r="J78" s="4"/>
      <c r="K78" s="4"/>
    </row>
    <row r="79" ht="15.75" customHeight="1">
      <c r="A79" s="4"/>
      <c r="B79" s="4"/>
      <c r="C79" s="4"/>
      <c r="D79" s="12"/>
      <c r="E79" s="12"/>
      <c r="F79" s="4"/>
      <c r="G79" s="12"/>
      <c r="H79" s="12"/>
      <c r="I79" s="25"/>
      <c r="J79" s="4"/>
      <c r="K79" s="4"/>
    </row>
    <row r="80" ht="15.75" customHeight="1">
      <c r="A80" s="4"/>
      <c r="B80" s="4"/>
      <c r="C80" s="4"/>
      <c r="D80" s="12"/>
      <c r="E80" s="12"/>
      <c r="F80" s="4"/>
      <c r="G80" s="12"/>
      <c r="H80" s="12"/>
      <c r="I80" s="25"/>
      <c r="J80" s="4"/>
      <c r="K80" s="4"/>
    </row>
    <row r="81" ht="15.75" customHeight="1">
      <c r="A81" s="4"/>
      <c r="B81" s="4"/>
      <c r="C81" s="4"/>
      <c r="D81" s="12"/>
      <c r="E81" s="12"/>
      <c r="F81" s="4"/>
      <c r="G81" s="12"/>
      <c r="H81" s="12"/>
      <c r="I81" s="25"/>
      <c r="J81" s="4"/>
      <c r="K81" s="4"/>
    </row>
    <row r="82" ht="15.75" customHeight="1">
      <c r="A82" s="4"/>
      <c r="B82" s="4"/>
      <c r="C82" s="4"/>
      <c r="D82" s="12"/>
      <c r="E82" s="12"/>
      <c r="F82" s="4"/>
      <c r="G82" s="12"/>
      <c r="H82" s="12"/>
      <c r="I82" s="25"/>
      <c r="J82" s="4"/>
      <c r="K82" s="4"/>
    </row>
    <row r="83" ht="15.75" customHeight="1">
      <c r="A83" s="4"/>
      <c r="B83" s="4"/>
      <c r="C83" s="4"/>
      <c r="D83" s="12"/>
      <c r="E83" s="12"/>
      <c r="F83" s="4"/>
      <c r="G83" s="12"/>
      <c r="H83" s="12"/>
      <c r="I83" s="25"/>
      <c r="J83" s="4"/>
      <c r="K83" s="4"/>
    </row>
    <row r="84" ht="15.75" customHeight="1">
      <c r="A84" s="4"/>
      <c r="B84" s="4"/>
      <c r="C84" s="4"/>
      <c r="D84" s="12"/>
      <c r="E84" s="12"/>
      <c r="F84" s="4"/>
      <c r="G84" s="12"/>
      <c r="H84" s="12"/>
      <c r="I84" s="25"/>
      <c r="J84" s="4"/>
      <c r="K84" s="4"/>
    </row>
    <row r="85" ht="15.75" customHeight="1">
      <c r="A85" s="4"/>
      <c r="B85" s="4"/>
      <c r="C85" s="4"/>
      <c r="D85" s="12"/>
      <c r="E85" s="12"/>
      <c r="F85" s="4"/>
      <c r="G85" s="12"/>
      <c r="H85" s="12"/>
      <c r="I85" s="25"/>
      <c r="J85" s="4"/>
      <c r="K85" s="4"/>
    </row>
    <row r="86" ht="15.75" customHeight="1">
      <c r="A86" s="4"/>
      <c r="B86" s="4"/>
      <c r="C86" s="4"/>
      <c r="D86" s="12"/>
      <c r="E86" s="12"/>
      <c r="F86" s="4"/>
      <c r="G86" s="12"/>
      <c r="H86" s="12"/>
      <c r="I86" s="25"/>
      <c r="J86" s="4"/>
      <c r="K86" s="4"/>
    </row>
    <row r="87" ht="15.75" customHeight="1">
      <c r="A87" s="4"/>
      <c r="B87" s="4"/>
      <c r="C87" s="4"/>
      <c r="D87" s="12"/>
      <c r="E87" s="12"/>
      <c r="F87" s="4"/>
      <c r="G87" s="12"/>
      <c r="H87" s="12"/>
      <c r="I87" s="25"/>
      <c r="J87" s="4"/>
      <c r="K87" s="4"/>
    </row>
    <row r="88" ht="15.75" customHeight="1">
      <c r="A88" s="4"/>
      <c r="B88" s="4"/>
      <c r="C88" s="4"/>
      <c r="D88" s="12"/>
      <c r="E88" s="12"/>
      <c r="F88" s="4"/>
      <c r="G88" s="12"/>
      <c r="H88" s="12"/>
      <c r="I88" s="25"/>
      <c r="J88" s="4"/>
      <c r="K88" s="4"/>
    </row>
    <row r="89" ht="15.75" customHeight="1">
      <c r="A89" s="4"/>
      <c r="B89" s="4"/>
      <c r="C89" s="4"/>
      <c r="D89" s="12"/>
      <c r="E89" s="12"/>
      <c r="F89" s="4"/>
      <c r="G89" s="12"/>
      <c r="H89" s="12"/>
      <c r="I89" s="25"/>
      <c r="J89" s="4"/>
      <c r="K89" s="4"/>
    </row>
    <row r="90" ht="15.75" customHeight="1">
      <c r="A90" s="4"/>
      <c r="B90" s="4"/>
      <c r="C90" s="4"/>
      <c r="D90" s="12"/>
      <c r="E90" s="12"/>
      <c r="F90" s="4"/>
      <c r="G90" s="12"/>
      <c r="H90" s="12"/>
      <c r="I90" s="25"/>
      <c r="J90" s="4"/>
      <c r="K90" s="4"/>
    </row>
    <row r="91" ht="15.75" customHeight="1">
      <c r="A91" s="4"/>
      <c r="B91" s="4"/>
      <c r="C91" s="4"/>
      <c r="D91" s="12"/>
      <c r="E91" s="12"/>
      <c r="F91" s="4"/>
      <c r="G91" s="12"/>
      <c r="H91" s="12"/>
      <c r="I91" s="25"/>
      <c r="J91" s="4"/>
      <c r="K91" s="4"/>
    </row>
    <row r="92" ht="15.75" customHeight="1">
      <c r="A92" s="4"/>
      <c r="B92" s="4"/>
      <c r="C92" s="4"/>
      <c r="D92" s="12"/>
      <c r="E92" s="12"/>
      <c r="F92" s="4"/>
      <c r="G92" s="12"/>
      <c r="H92" s="12"/>
      <c r="I92" s="25"/>
      <c r="J92" s="4"/>
      <c r="K92" s="4"/>
    </row>
    <row r="93" ht="15.75" customHeight="1">
      <c r="A93" s="4"/>
      <c r="B93" s="4"/>
      <c r="C93" s="4"/>
      <c r="D93" s="12"/>
      <c r="E93" s="12"/>
      <c r="F93" s="4"/>
      <c r="G93" s="12"/>
      <c r="H93" s="12"/>
      <c r="I93" s="25"/>
      <c r="J93" s="4"/>
      <c r="K93" s="4"/>
    </row>
    <row r="94" ht="15.75" customHeight="1">
      <c r="A94" s="4"/>
      <c r="B94" s="4"/>
      <c r="C94" s="4"/>
      <c r="D94" s="12"/>
      <c r="E94" s="12"/>
      <c r="F94" s="4"/>
      <c r="G94" s="12"/>
      <c r="H94" s="12"/>
      <c r="I94" s="25"/>
      <c r="J94" s="4"/>
      <c r="K94" s="4"/>
    </row>
    <row r="95" ht="15.75" customHeight="1">
      <c r="A95" s="4"/>
      <c r="B95" s="4"/>
      <c r="C95" s="4"/>
      <c r="D95" s="12"/>
      <c r="E95" s="12"/>
      <c r="F95" s="4"/>
      <c r="G95" s="12"/>
      <c r="H95" s="12"/>
      <c r="I95" s="25"/>
      <c r="J95" s="4"/>
      <c r="K95" s="4"/>
    </row>
    <row r="96" ht="15.75" customHeight="1">
      <c r="A96" s="4"/>
      <c r="B96" s="4"/>
      <c r="C96" s="4"/>
      <c r="D96" s="12"/>
      <c r="E96" s="12"/>
      <c r="F96" s="4"/>
      <c r="G96" s="12"/>
      <c r="H96" s="12"/>
      <c r="I96" s="25"/>
      <c r="J96" s="4"/>
      <c r="K96" s="4"/>
    </row>
    <row r="97" ht="15.75" customHeight="1">
      <c r="A97" s="4"/>
      <c r="B97" s="4"/>
      <c r="C97" s="4"/>
      <c r="D97" s="12"/>
      <c r="E97" s="12"/>
      <c r="F97" s="4"/>
      <c r="G97" s="12"/>
      <c r="H97" s="12"/>
      <c r="I97" s="25"/>
      <c r="J97" s="4"/>
      <c r="K97" s="4"/>
    </row>
    <row r="98" ht="15.75" customHeight="1">
      <c r="A98" s="4"/>
      <c r="B98" s="4"/>
      <c r="C98" s="4"/>
      <c r="D98" s="12"/>
      <c r="E98" s="12"/>
      <c r="F98" s="4"/>
      <c r="G98" s="12"/>
      <c r="H98" s="12"/>
      <c r="I98" s="25"/>
      <c r="J98" s="4"/>
      <c r="K98" s="4"/>
    </row>
    <row r="99" ht="15.75" customHeight="1">
      <c r="A99" s="4"/>
      <c r="B99" s="4"/>
      <c r="C99" s="4"/>
      <c r="D99" s="12"/>
      <c r="E99" s="12"/>
      <c r="F99" s="4"/>
      <c r="G99" s="12"/>
      <c r="H99" s="12"/>
      <c r="I99" s="25"/>
      <c r="J99" s="4"/>
      <c r="K99" s="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10.0"/>
    <col customWidth="1" min="4" max="5" width="14.0"/>
    <col customWidth="1" min="6" max="6" width="10.0"/>
    <col customWidth="1" min="7" max="7" width="12.0"/>
    <col customWidth="1" min="8" max="8" width="24.0"/>
    <col customWidth="1" min="9" max="26" width="8.71"/>
  </cols>
  <sheetData>
    <row r="1" ht="27.75" customHeight="1">
      <c r="A1" s="1" t="s">
        <v>383</v>
      </c>
      <c r="B1" s="2"/>
      <c r="C1" s="2"/>
      <c r="D1" s="2"/>
      <c r="E1" s="2"/>
      <c r="F1" s="2"/>
      <c r="G1" s="2"/>
      <c r="H1" s="3"/>
    </row>
    <row r="2" ht="30.0" customHeight="1">
      <c r="A2" s="18" t="s">
        <v>38</v>
      </c>
      <c r="B2" s="18" t="s">
        <v>384</v>
      </c>
      <c r="C2" s="18" t="s">
        <v>385</v>
      </c>
      <c r="D2" s="18" t="s">
        <v>14</v>
      </c>
      <c r="E2" s="18" t="s">
        <v>15</v>
      </c>
      <c r="F2" s="18" t="s">
        <v>16</v>
      </c>
      <c r="G2" s="18" t="s">
        <v>386</v>
      </c>
      <c r="H2" s="18" t="s">
        <v>274</v>
      </c>
    </row>
    <row r="3">
      <c r="A3" s="19" t="s">
        <v>109</v>
      </c>
      <c r="B3" s="19" t="s">
        <v>18</v>
      </c>
      <c r="C3" s="19">
        <f>COUNTIF(Clientes!$F:$F,A3)</f>
        <v>5</v>
      </c>
      <c r="D3" s="22">
        <f>SUMIF(Ventas!$D:$D,A3,Ventas!$H:$H)</f>
        <v>1623288.5</v>
      </c>
      <c r="E3" s="22">
        <f>SUMIF(Ventas!$D:$D,A3,Ventas!$J:$J)</f>
        <v>166988.5</v>
      </c>
      <c r="F3" s="19">
        <f>COUNTIF(Pedidos!$E:$E,A3)</f>
        <v>6</v>
      </c>
      <c r="G3" s="19" t="str">
        <f t="shared" ref="G3:G9" si="1">IF(D3&gt;500000,"Alta",IF(D3&gt;200000,"Media","Baja"))</f>
        <v>Alta</v>
      </c>
      <c r="H3" s="19" t="s">
        <v>387</v>
      </c>
    </row>
    <row r="4">
      <c r="A4" s="19" t="s">
        <v>97</v>
      </c>
      <c r="B4" s="19" t="s">
        <v>20</v>
      </c>
      <c r="C4" s="19">
        <f>COUNTIF(Clientes!$F:$F,A4)</f>
        <v>1</v>
      </c>
      <c r="D4" s="22">
        <f>SUMIF(Ventas!$D:$D,A4,Ventas!$H:$H)</f>
        <v>464247.5</v>
      </c>
      <c r="E4" s="22">
        <f>SUMIF(Ventas!$D:$D,A4,Ventas!$J:$J)</f>
        <v>100347.5</v>
      </c>
      <c r="F4" s="19">
        <f>COUNTIF(Pedidos!$E:$E,A4)</f>
        <v>3</v>
      </c>
      <c r="G4" s="19" t="str">
        <f t="shared" si="1"/>
        <v>Media</v>
      </c>
      <c r="H4" s="19" t="s">
        <v>387</v>
      </c>
    </row>
    <row r="5">
      <c r="A5" s="19" t="s">
        <v>76</v>
      </c>
      <c r="B5" s="19" t="s">
        <v>22</v>
      </c>
      <c r="C5" s="19">
        <f>COUNTIF(Clientes!$F:$F,A5)</f>
        <v>2</v>
      </c>
      <c r="D5" s="22">
        <f>SUMIF(Ventas!$D:$D,A5,Ventas!$H:$H)</f>
        <v>1177833.5</v>
      </c>
      <c r="E5" s="22">
        <f>SUMIF(Ventas!$D:$D,A5,Ventas!$J:$J)</f>
        <v>140173.5</v>
      </c>
      <c r="F5" s="19">
        <f>COUNTIF(Pedidos!$E:$E,A5)</f>
        <v>3</v>
      </c>
      <c r="G5" s="19" t="str">
        <f t="shared" si="1"/>
        <v>Alta</v>
      </c>
      <c r="H5" s="19" t="s">
        <v>387</v>
      </c>
    </row>
    <row r="6">
      <c r="A6" s="19" t="s">
        <v>388</v>
      </c>
      <c r="B6" s="19" t="s">
        <v>24</v>
      </c>
      <c r="C6" s="19">
        <f>COUNTIF(Clientes!$F:$F,A6)</f>
        <v>0</v>
      </c>
      <c r="D6" s="22">
        <f>SUMIF(Ventas!$D:$D,A6,Ventas!$H:$H)</f>
        <v>0</v>
      </c>
      <c r="E6" s="22">
        <f>SUMIF(Ventas!$D:$D,A6,Ventas!$J:$J)</f>
        <v>0</v>
      </c>
      <c r="F6" s="19">
        <f>COUNTIF(Pedidos!$E:$E,A6)</f>
        <v>0</v>
      </c>
      <c r="G6" s="19" t="str">
        <f t="shared" si="1"/>
        <v>Baja</v>
      </c>
      <c r="H6" s="19" t="s">
        <v>387</v>
      </c>
    </row>
    <row r="7">
      <c r="A7" s="19" t="s">
        <v>148</v>
      </c>
      <c r="B7" s="19" t="s">
        <v>26</v>
      </c>
      <c r="C7" s="19">
        <f>COUNTIF(Clientes!$F:$F,A7)</f>
        <v>1</v>
      </c>
      <c r="D7" s="22">
        <f>SUMIF(Ventas!$D:$D,A7,Ventas!$H:$H)</f>
        <v>770357.5</v>
      </c>
      <c r="E7" s="22">
        <f>SUMIF(Ventas!$D:$D,A7,Ventas!$J:$J)</f>
        <v>162907.5</v>
      </c>
      <c r="F7" s="19">
        <f>COUNTIF(Pedidos!$E:$E,A7)</f>
        <v>4</v>
      </c>
      <c r="G7" s="19" t="str">
        <f t="shared" si="1"/>
        <v>Alta</v>
      </c>
      <c r="H7" s="19" t="s">
        <v>387</v>
      </c>
    </row>
    <row r="8">
      <c r="A8" s="19" t="s">
        <v>139</v>
      </c>
      <c r="B8" s="19" t="s">
        <v>28</v>
      </c>
      <c r="C8" s="19">
        <f>COUNTIF(Clientes!$F:$F,A8)</f>
        <v>1</v>
      </c>
      <c r="D8" s="22">
        <f>SUMIF(Ventas!$D:$D,A8,Ventas!$H:$H)</f>
        <v>650176</v>
      </c>
      <c r="E8" s="22">
        <f>SUMIF(Ventas!$D:$D,A8,Ventas!$J:$J)</f>
        <v>106876</v>
      </c>
      <c r="F8" s="19">
        <f>COUNTIF(Pedidos!$E:$E,A8)</f>
        <v>2</v>
      </c>
      <c r="G8" s="19" t="str">
        <f t="shared" si="1"/>
        <v>Alta</v>
      </c>
      <c r="H8" s="19" t="s">
        <v>387</v>
      </c>
    </row>
    <row r="9">
      <c r="A9" s="19" t="s">
        <v>158</v>
      </c>
      <c r="B9" s="19" t="s">
        <v>30</v>
      </c>
      <c r="C9" s="19">
        <f>COUNTIF(Clientes!$F:$F,A9)</f>
        <v>2</v>
      </c>
      <c r="D9" s="22">
        <f>SUMIF(Ventas!$D:$D,A9,Ventas!$H:$H)</f>
        <v>743316.5</v>
      </c>
      <c r="E9" s="22">
        <f>SUMIF(Ventas!$D:$D,A9,Ventas!$J:$J)</f>
        <v>145096.5</v>
      </c>
      <c r="F9" s="19">
        <f>COUNTIF(Pedidos!$E:$E,A9)</f>
        <v>4</v>
      </c>
      <c r="G9" s="19" t="str">
        <f t="shared" si="1"/>
        <v>Alta</v>
      </c>
      <c r="H9" s="19" t="s">
        <v>387</v>
      </c>
    </row>
    <row r="10">
      <c r="A10" s="4"/>
      <c r="B10" s="4"/>
      <c r="C10" s="4"/>
      <c r="D10" s="12"/>
      <c r="E10" s="12"/>
      <c r="F10" s="4"/>
      <c r="G10" s="4"/>
      <c r="H10" s="4"/>
    </row>
    <row r="11">
      <c r="A11" s="4"/>
      <c r="B11" s="4"/>
      <c r="C11" s="4"/>
      <c r="D11" s="12"/>
      <c r="E11" s="12"/>
      <c r="F11" s="4"/>
      <c r="G11" s="4"/>
      <c r="H11" s="4"/>
    </row>
    <row r="12">
      <c r="A12" s="4"/>
      <c r="B12" s="4"/>
      <c r="C12" s="4"/>
      <c r="D12" s="12"/>
      <c r="E12" s="12"/>
      <c r="F12" s="4"/>
      <c r="G12" s="4"/>
      <c r="H12" s="4"/>
    </row>
    <row r="13">
      <c r="A13" s="4"/>
      <c r="B13" s="4"/>
      <c r="C13" s="4"/>
      <c r="D13" s="12"/>
      <c r="E13" s="12"/>
      <c r="F13" s="4"/>
      <c r="G13" s="4"/>
      <c r="H13" s="4"/>
    </row>
    <row r="14">
      <c r="A14" s="4"/>
      <c r="B14" s="4"/>
      <c r="C14" s="4"/>
      <c r="D14" s="12"/>
      <c r="E14" s="12"/>
      <c r="F14" s="4"/>
      <c r="G14" s="4"/>
      <c r="H14" s="4"/>
    </row>
    <row r="15">
      <c r="A15" s="4"/>
      <c r="B15" s="4"/>
      <c r="C15" s="4"/>
      <c r="D15" s="12"/>
      <c r="E15" s="12"/>
      <c r="F15" s="4"/>
      <c r="G15" s="4"/>
      <c r="H15" s="4"/>
    </row>
    <row r="16">
      <c r="A16" s="4"/>
      <c r="B16" s="4"/>
      <c r="C16" s="4"/>
      <c r="D16" s="12"/>
      <c r="E16" s="12"/>
      <c r="F16" s="4"/>
      <c r="G16" s="4"/>
      <c r="H16" s="4"/>
    </row>
    <row r="17">
      <c r="A17" s="4"/>
      <c r="B17" s="4"/>
      <c r="C17" s="4"/>
      <c r="D17" s="12"/>
      <c r="E17" s="12"/>
      <c r="F17" s="4"/>
      <c r="G17" s="4"/>
      <c r="H17" s="4"/>
    </row>
    <row r="18">
      <c r="A18" s="4"/>
      <c r="B18" s="4"/>
      <c r="C18" s="4"/>
      <c r="D18" s="12"/>
      <c r="E18" s="12"/>
      <c r="F18" s="4"/>
      <c r="G18" s="4"/>
      <c r="H18" s="4"/>
    </row>
    <row r="19">
      <c r="A19" s="4"/>
      <c r="B19" s="4"/>
      <c r="C19" s="4"/>
      <c r="D19" s="12"/>
      <c r="E19" s="12"/>
      <c r="F19" s="4"/>
      <c r="G19" s="4"/>
      <c r="H19" s="4"/>
    </row>
    <row r="20">
      <c r="A20" s="4"/>
      <c r="B20" s="4"/>
      <c r="C20" s="4"/>
      <c r="D20" s="12"/>
      <c r="E20" s="12"/>
      <c r="F20" s="4"/>
      <c r="G20" s="4"/>
      <c r="H20" s="4"/>
    </row>
    <row r="21" ht="15.75" customHeight="1">
      <c r="A21" s="4"/>
      <c r="B21" s="4"/>
      <c r="C21" s="4"/>
      <c r="D21" s="12"/>
      <c r="E21" s="12"/>
      <c r="F21" s="4"/>
      <c r="G21" s="4"/>
      <c r="H21" s="4"/>
    </row>
    <row r="22" ht="15.75" customHeight="1">
      <c r="A22" s="4"/>
      <c r="B22" s="4"/>
      <c r="C22" s="4"/>
      <c r="D22" s="12"/>
      <c r="E22" s="12"/>
      <c r="F22" s="4"/>
      <c r="G22" s="4"/>
      <c r="H22" s="4"/>
    </row>
    <row r="23" ht="15.75" customHeight="1">
      <c r="A23" s="4"/>
      <c r="B23" s="4"/>
      <c r="C23" s="4"/>
      <c r="D23" s="12"/>
      <c r="E23" s="12"/>
      <c r="F23" s="4"/>
      <c r="G23" s="4"/>
      <c r="H23" s="4"/>
    </row>
    <row r="24" ht="15.75" customHeight="1">
      <c r="A24" s="4"/>
      <c r="B24" s="4"/>
      <c r="C24" s="4"/>
      <c r="D24" s="12"/>
      <c r="E24" s="12"/>
      <c r="F24" s="4"/>
      <c r="G24" s="4"/>
      <c r="H24" s="4"/>
    </row>
    <row r="25" ht="15.75" customHeight="1">
      <c r="A25" s="4"/>
      <c r="B25" s="4"/>
      <c r="C25" s="4"/>
      <c r="D25" s="12"/>
      <c r="E25" s="12"/>
      <c r="F25" s="4"/>
      <c r="G25" s="4"/>
      <c r="H25" s="4"/>
    </row>
    <row r="26" ht="15.75" customHeight="1">
      <c r="A26" s="4"/>
      <c r="B26" s="4"/>
      <c r="C26" s="4"/>
      <c r="D26" s="12"/>
      <c r="E26" s="12"/>
      <c r="F26" s="4"/>
      <c r="G26" s="4"/>
      <c r="H26" s="4"/>
    </row>
    <row r="27" ht="15.75" customHeight="1">
      <c r="A27" s="4"/>
      <c r="B27" s="4"/>
      <c r="C27" s="4"/>
      <c r="D27" s="12"/>
      <c r="E27" s="12"/>
      <c r="F27" s="4"/>
      <c r="G27" s="4"/>
      <c r="H27" s="4"/>
    </row>
    <row r="28" ht="15.75" customHeight="1">
      <c r="A28" s="4"/>
      <c r="B28" s="4"/>
      <c r="C28" s="4"/>
      <c r="D28" s="12"/>
      <c r="E28" s="12"/>
      <c r="F28" s="4"/>
      <c r="G28" s="4"/>
      <c r="H28" s="4"/>
    </row>
    <row r="29" ht="15.75" customHeight="1">
      <c r="A29" s="4"/>
      <c r="B29" s="4"/>
      <c r="C29" s="4"/>
      <c r="D29" s="12"/>
      <c r="E29" s="12"/>
      <c r="F29" s="4"/>
      <c r="G29" s="4"/>
      <c r="H29" s="4"/>
    </row>
    <row r="30" ht="15.75" customHeight="1">
      <c r="A30" s="4"/>
      <c r="B30" s="4"/>
      <c r="C30" s="4"/>
      <c r="D30" s="12"/>
      <c r="E30" s="12"/>
      <c r="F30" s="4"/>
      <c r="G30" s="4"/>
      <c r="H30" s="4"/>
    </row>
    <row r="31" ht="15.75" customHeight="1">
      <c r="A31" s="4"/>
      <c r="B31" s="4"/>
      <c r="C31" s="4"/>
      <c r="D31" s="12"/>
      <c r="E31" s="12"/>
      <c r="F31" s="4"/>
      <c r="G31" s="4"/>
      <c r="H31" s="4"/>
    </row>
    <row r="32" ht="15.75" customHeight="1">
      <c r="A32" s="4"/>
      <c r="B32" s="4"/>
      <c r="C32" s="4"/>
      <c r="D32" s="12"/>
      <c r="E32" s="12"/>
      <c r="F32" s="4"/>
      <c r="G32" s="4"/>
      <c r="H32" s="4"/>
    </row>
    <row r="33" ht="15.75" customHeight="1">
      <c r="A33" s="4"/>
      <c r="B33" s="4"/>
      <c r="C33" s="4"/>
      <c r="D33" s="12"/>
      <c r="E33" s="12"/>
      <c r="F33" s="4"/>
      <c r="G33" s="4"/>
      <c r="H33" s="4"/>
    </row>
    <row r="34" ht="15.75" customHeight="1">
      <c r="A34" s="4"/>
      <c r="B34" s="4"/>
      <c r="C34" s="4"/>
      <c r="D34" s="12"/>
      <c r="E34" s="12"/>
      <c r="F34" s="4"/>
      <c r="G34" s="4"/>
      <c r="H34" s="4"/>
    </row>
    <row r="35" ht="15.75" customHeight="1">
      <c r="A35" s="4"/>
      <c r="B35" s="4"/>
      <c r="C35" s="4"/>
      <c r="D35" s="12"/>
      <c r="E35" s="12"/>
      <c r="F35" s="4"/>
      <c r="G35" s="4"/>
      <c r="H35" s="4"/>
    </row>
    <row r="36" ht="15.75" customHeight="1">
      <c r="A36" s="4"/>
      <c r="B36" s="4"/>
      <c r="C36" s="4"/>
      <c r="D36" s="12"/>
      <c r="E36" s="12"/>
      <c r="F36" s="4"/>
      <c r="G36" s="4"/>
      <c r="H36" s="4"/>
    </row>
    <row r="37" ht="15.75" customHeight="1">
      <c r="A37" s="4"/>
      <c r="B37" s="4"/>
      <c r="C37" s="4"/>
      <c r="D37" s="12"/>
      <c r="E37" s="12"/>
      <c r="F37" s="4"/>
      <c r="G37" s="4"/>
      <c r="H37" s="4"/>
    </row>
    <row r="38" ht="15.75" customHeight="1">
      <c r="A38" s="4"/>
      <c r="B38" s="4"/>
      <c r="C38" s="4"/>
      <c r="D38" s="12"/>
      <c r="E38" s="12"/>
      <c r="F38" s="4"/>
      <c r="G38" s="4"/>
      <c r="H38" s="4"/>
    </row>
    <row r="39" ht="15.75" customHeight="1">
      <c r="A39" s="4"/>
      <c r="B39" s="4"/>
      <c r="C39" s="4"/>
      <c r="D39" s="12"/>
      <c r="E39" s="12"/>
      <c r="F39" s="4"/>
      <c r="G39" s="4"/>
      <c r="H39" s="4"/>
    </row>
    <row r="40" ht="15.75" customHeight="1">
      <c r="A40" s="4"/>
      <c r="B40" s="4"/>
      <c r="C40" s="4"/>
      <c r="D40" s="12"/>
      <c r="E40" s="12"/>
      <c r="F40" s="4"/>
      <c r="G40" s="4"/>
      <c r="H40" s="4"/>
    </row>
    <row r="41" ht="15.75" customHeight="1">
      <c r="A41" s="4"/>
      <c r="B41" s="4"/>
      <c r="C41" s="4"/>
      <c r="D41" s="12"/>
      <c r="E41" s="12"/>
      <c r="F41" s="4"/>
      <c r="G41" s="4"/>
      <c r="H41" s="4"/>
    </row>
    <row r="42" ht="15.75" customHeight="1">
      <c r="A42" s="4"/>
      <c r="B42" s="4"/>
      <c r="C42" s="4"/>
      <c r="D42" s="12"/>
      <c r="E42" s="12"/>
      <c r="F42" s="4"/>
      <c r="G42" s="4"/>
      <c r="H42" s="4"/>
    </row>
    <row r="43" ht="15.75" customHeight="1">
      <c r="A43" s="4"/>
      <c r="B43" s="4"/>
      <c r="C43" s="4"/>
      <c r="D43" s="12"/>
      <c r="E43" s="12"/>
      <c r="F43" s="4"/>
      <c r="G43" s="4"/>
      <c r="H43" s="4"/>
    </row>
    <row r="44" ht="15.75" customHeight="1">
      <c r="A44" s="4"/>
      <c r="B44" s="4"/>
      <c r="C44" s="4"/>
      <c r="D44" s="12"/>
      <c r="E44" s="12"/>
      <c r="F44" s="4"/>
      <c r="G44" s="4"/>
      <c r="H44" s="4"/>
    </row>
    <row r="45" ht="15.75" customHeight="1">
      <c r="A45" s="4"/>
      <c r="B45" s="4"/>
      <c r="C45" s="4"/>
      <c r="D45" s="12"/>
      <c r="E45" s="12"/>
      <c r="F45" s="4"/>
      <c r="G45" s="4"/>
      <c r="H45" s="4"/>
    </row>
    <row r="46" ht="15.75" customHeight="1">
      <c r="A46" s="4"/>
      <c r="B46" s="4"/>
      <c r="C46" s="4"/>
      <c r="D46" s="12"/>
      <c r="E46" s="12"/>
      <c r="F46" s="4"/>
      <c r="G46" s="4"/>
      <c r="H46" s="4"/>
    </row>
    <row r="47" ht="15.75" customHeight="1">
      <c r="A47" s="4"/>
      <c r="B47" s="4"/>
      <c r="C47" s="4"/>
      <c r="D47" s="12"/>
      <c r="E47" s="12"/>
      <c r="F47" s="4"/>
      <c r="G47" s="4"/>
      <c r="H47" s="4"/>
    </row>
    <row r="48" ht="15.75" customHeight="1">
      <c r="A48" s="4"/>
      <c r="B48" s="4"/>
      <c r="C48" s="4"/>
      <c r="D48" s="12"/>
      <c r="E48" s="12"/>
      <c r="F48" s="4"/>
      <c r="G48" s="4"/>
      <c r="H48" s="4"/>
    </row>
    <row r="49" ht="15.75" customHeight="1">
      <c r="A49" s="4"/>
      <c r="B49" s="4"/>
      <c r="C49" s="4"/>
      <c r="D49" s="12"/>
      <c r="E49" s="12"/>
      <c r="F49" s="4"/>
      <c r="G49" s="4"/>
      <c r="H49" s="4"/>
    </row>
    <row r="50" ht="15.75" customHeight="1">
      <c r="A50" s="4"/>
      <c r="B50" s="4"/>
      <c r="C50" s="4"/>
      <c r="D50" s="12"/>
      <c r="E50" s="12"/>
      <c r="F50" s="4"/>
      <c r="G50" s="4"/>
      <c r="H50" s="4"/>
    </row>
    <row r="51" ht="15.75" customHeight="1">
      <c r="A51" s="4"/>
      <c r="B51" s="4"/>
      <c r="C51" s="4"/>
      <c r="D51" s="12"/>
      <c r="E51" s="12"/>
      <c r="F51" s="4"/>
      <c r="G51" s="4"/>
      <c r="H51" s="4"/>
    </row>
    <row r="52" ht="15.75" customHeight="1">
      <c r="A52" s="4"/>
      <c r="B52" s="4"/>
      <c r="C52" s="4"/>
      <c r="D52" s="12"/>
      <c r="E52" s="12"/>
      <c r="F52" s="4"/>
      <c r="G52" s="4"/>
      <c r="H52" s="4"/>
    </row>
    <row r="53" ht="15.75" customHeight="1">
      <c r="A53" s="4"/>
      <c r="B53" s="4"/>
      <c r="C53" s="4"/>
      <c r="D53" s="12"/>
      <c r="E53" s="12"/>
      <c r="F53" s="4"/>
      <c r="G53" s="4"/>
      <c r="H53" s="4"/>
    </row>
    <row r="54" ht="15.75" customHeight="1">
      <c r="A54" s="4"/>
      <c r="B54" s="4"/>
      <c r="C54" s="4"/>
      <c r="D54" s="12"/>
      <c r="E54" s="12"/>
      <c r="F54" s="4"/>
      <c r="G54" s="4"/>
      <c r="H54" s="4"/>
    </row>
    <row r="55" ht="15.75" customHeight="1">
      <c r="A55" s="4"/>
      <c r="B55" s="4"/>
      <c r="C55" s="4"/>
      <c r="D55" s="12"/>
      <c r="E55" s="12"/>
      <c r="F55" s="4"/>
      <c r="G55" s="4"/>
      <c r="H55" s="4"/>
    </row>
    <row r="56" ht="15.75" customHeight="1">
      <c r="A56" s="4"/>
      <c r="B56" s="4"/>
      <c r="C56" s="4"/>
      <c r="D56" s="12"/>
      <c r="E56" s="12"/>
      <c r="F56" s="4"/>
      <c r="G56" s="4"/>
      <c r="H56" s="4"/>
    </row>
    <row r="57" ht="15.75" customHeight="1">
      <c r="A57" s="4"/>
      <c r="B57" s="4"/>
      <c r="C57" s="4"/>
      <c r="D57" s="12"/>
      <c r="E57" s="12"/>
      <c r="F57" s="4"/>
      <c r="G57" s="4"/>
      <c r="H57" s="4"/>
    </row>
    <row r="58" ht="15.75" customHeight="1">
      <c r="A58" s="4"/>
      <c r="B58" s="4"/>
      <c r="C58" s="4"/>
      <c r="D58" s="12"/>
      <c r="E58" s="12"/>
      <c r="F58" s="4"/>
      <c r="G58" s="4"/>
      <c r="H58" s="4"/>
    </row>
    <row r="59" ht="15.75" customHeight="1">
      <c r="A59" s="4"/>
      <c r="B59" s="4"/>
      <c r="C59" s="4"/>
      <c r="D59" s="12"/>
      <c r="E59" s="12"/>
      <c r="F59" s="4"/>
      <c r="G59" s="4"/>
      <c r="H59" s="4"/>
    </row>
    <row r="60" ht="15.75" customHeight="1">
      <c r="A60" s="4"/>
      <c r="B60" s="4"/>
      <c r="C60" s="4"/>
      <c r="D60" s="12"/>
      <c r="E60" s="12"/>
      <c r="F60" s="4"/>
      <c r="G60" s="4"/>
      <c r="H60" s="4"/>
    </row>
    <row r="61" ht="15.75" customHeight="1">
      <c r="A61" s="4"/>
      <c r="B61" s="4"/>
      <c r="C61" s="4"/>
      <c r="D61" s="12"/>
      <c r="E61" s="12"/>
      <c r="F61" s="4"/>
      <c r="G61" s="4"/>
      <c r="H61" s="4"/>
    </row>
    <row r="62" ht="15.75" customHeight="1">
      <c r="A62" s="4"/>
      <c r="B62" s="4"/>
      <c r="C62" s="4"/>
      <c r="D62" s="12"/>
      <c r="E62" s="12"/>
      <c r="F62" s="4"/>
      <c r="G62" s="4"/>
      <c r="H62" s="4"/>
    </row>
    <row r="63" ht="15.75" customHeight="1">
      <c r="A63" s="4"/>
      <c r="B63" s="4"/>
      <c r="C63" s="4"/>
      <c r="D63" s="12"/>
      <c r="E63" s="12"/>
      <c r="F63" s="4"/>
      <c r="G63" s="4"/>
      <c r="H63" s="4"/>
    </row>
    <row r="64" ht="15.75" customHeight="1">
      <c r="A64" s="4"/>
      <c r="B64" s="4"/>
      <c r="C64" s="4"/>
      <c r="D64" s="12"/>
      <c r="E64" s="12"/>
      <c r="F64" s="4"/>
      <c r="G64" s="4"/>
      <c r="H64" s="4"/>
    </row>
    <row r="65" ht="15.75" customHeight="1">
      <c r="A65" s="4"/>
      <c r="B65" s="4"/>
      <c r="C65" s="4"/>
      <c r="D65" s="12"/>
      <c r="E65" s="12"/>
      <c r="F65" s="4"/>
      <c r="G65" s="4"/>
      <c r="H65" s="4"/>
    </row>
    <row r="66" ht="15.75" customHeight="1">
      <c r="A66" s="4"/>
      <c r="B66" s="4"/>
      <c r="C66" s="4"/>
      <c r="D66" s="12"/>
      <c r="E66" s="12"/>
      <c r="F66" s="4"/>
      <c r="G66" s="4"/>
      <c r="H66" s="4"/>
    </row>
    <row r="67" ht="15.75" customHeight="1">
      <c r="A67" s="4"/>
      <c r="B67" s="4"/>
      <c r="C67" s="4"/>
      <c r="D67" s="12"/>
      <c r="E67" s="12"/>
      <c r="F67" s="4"/>
      <c r="G67" s="4"/>
      <c r="H67" s="4"/>
    </row>
    <row r="68" ht="15.75" customHeight="1">
      <c r="A68" s="4"/>
      <c r="B68" s="4"/>
      <c r="C68" s="4"/>
      <c r="D68" s="12"/>
      <c r="E68" s="12"/>
      <c r="F68" s="4"/>
      <c r="G68" s="4"/>
      <c r="H68" s="4"/>
    </row>
    <row r="69" ht="15.75" customHeight="1">
      <c r="A69" s="4"/>
      <c r="B69" s="4"/>
      <c r="C69" s="4"/>
      <c r="D69" s="12"/>
      <c r="E69" s="12"/>
      <c r="F69" s="4"/>
      <c r="G69" s="4"/>
      <c r="H69" s="4"/>
    </row>
    <row r="70" ht="15.75" customHeight="1">
      <c r="A70" s="4"/>
      <c r="B70" s="4"/>
      <c r="C70" s="4"/>
      <c r="D70" s="12"/>
      <c r="E70" s="12"/>
      <c r="F70" s="4"/>
      <c r="G70" s="4"/>
      <c r="H70" s="4"/>
    </row>
    <row r="71" ht="15.75" customHeight="1">
      <c r="A71" s="4"/>
      <c r="B71" s="4"/>
      <c r="C71" s="4"/>
      <c r="D71" s="12"/>
      <c r="E71" s="12"/>
      <c r="F71" s="4"/>
      <c r="G71" s="4"/>
      <c r="H71" s="4"/>
    </row>
    <row r="72" ht="15.75" customHeight="1">
      <c r="A72" s="4"/>
      <c r="B72" s="4"/>
      <c r="C72" s="4"/>
      <c r="D72" s="12"/>
      <c r="E72" s="12"/>
      <c r="F72" s="4"/>
      <c r="G72" s="4"/>
      <c r="H72" s="4"/>
    </row>
    <row r="73" ht="15.75" customHeight="1">
      <c r="A73" s="4"/>
      <c r="B73" s="4"/>
      <c r="C73" s="4"/>
      <c r="D73" s="12"/>
      <c r="E73" s="12"/>
      <c r="F73" s="4"/>
      <c r="G73" s="4"/>
      <c r="H73" s="4"/>
    </row>
    <row r="74" ht="15.75" customHeight="1">
      <c r="A74" s="4"/>
      <c r="B74" s="4"/>
      <c r="C74" s="4"/>
      <c r="D74" s="12"/>
      <c r="E74" s="12"/>
      <c r="F74" s="4"/>
      <c r="G74" s="4"/>
      <c r="H74" s="4"/>
    </row>
    <row r="75" ht="15.75" customHeight="1">
      <c r="A75" s="4"/>
      <c r="B75" s="4"/>
      <c r="C75" s="4"/>
      <c r="D75" s="12"/>
      <c r="E75" s="12"/>
      <c r="F75" s="4"/>
      <c r="G75" s="4"/>
      <c r="H75" s="4"/>
    </row>
    <row r="76" ht="15.75" customHeight="1">
      <c r="A76" s="4"/>
      <c r="B76" s="4"/>
      <c r="C76" s="4"/>
      <c r="D76" s="12"/>
      <c r="E76" s="12"/>
      <c r="F76" s="4"/>
      <c r="G76" s="4"/>
      <c r="H76" s="4"/>
    </row>
    <row r="77" ht="15.75" customHeight="1">
      <c r="A77" s="4"/>
      <c r="B77" s="4"/>
      <c r="C77" s="4"/>
      <c r="D77" s="12"/>
      <c r="E77" s="12"/>
      <c r="F77" s="4"/>
      <c r="G77" s="4"/>
      <c r="H77" s="4"/>
    </row>
    <row r="78" ht="15.75" customHeight="1">
      <c r="A78" s="4"/>
      <c r="B78" s="4"/>
      <c r="C78" s="4"/>
      <c r="D78" s="12"/>
      <c r="E78" s="12"/>
      <c r="F78" s="4"/>
      <c r="G78" s="4"/>
      <c r="H78" s="4"/>
    </row>
    <row r="79" ht="15.75" customHeight="1">
      <c r="A79" s="4"/>
      <c r="B79" s="4"/>
      <c r="C79" s="4"/>
      <c r="D79" s="12"/>
      <c r="E79" s="12"/>
      <c r="F79" s="4"/>
      <c r="G79" s="4"/>
      <c r="H79" s="4"/>
    </row>
    <row r="80" ht="15.75" customHeight="1">
      <c r="A80" s="4"/>
      <c r="B80" s="4"/>
      <c r="C80" s="4"/>
      <c r="D80" s="12"/>
      <c r="E80" s="12"/>
      <c r="F80" s="4"/>
      <c r="G80" s="4"/>
      <c r="H80" s="4"/>
    </row>
    <row r="81" ht="15.75" customHeight="1">
      <c r="A81" s="4"/>
      <c r="B81" s="4"/>
      <c r="C81" s="4"/>
      <c r="D81" s="12"/>
      <c r="E81" s="12"/>
      <c r="F81" s="4"/>
      <c r="G81" s="4"/>
      <c r="H81" s="4"/>
    </row>
    <row r="82" ht="15.75" customHeight="1">
      <c r="A82" s="4"/>
      <c r="B82" s="4"/>
      <c r="C82" s="4"/>
      <c r="D82" s="12"/>
      <c r="E82" s="12"/>
      <c r="F82" s="4"/>
      <c r="G82" s="4"/>
      <c r="H82" s="4"/>
    </row>
    <row r="83" ht="15.75" customHeight="1">
      <c r="A83" s="4"/>
      <c r="B83" s="4"/>
      <c r="C83" s="4"/>
      <c r="D83" s="12"/>
      <c r="E83" s="12"/>
      <c r="F83" s="4"/>
      <c r="G83" s="4"/>
      <c r="H83" s="4"/>
    </row>
    <row r="84" ht="15.75" customHeight="1">
      <c r="A84" s="4"/>
      <c r="B84" s="4"/>
      <c r="C84" s="4"/>
      <c r="D84" s="12"/>
      <c r="E84" s="12"/>
      <c r="F84" s="4"/>
      <c r="G84" s="4"/>
      <c r="H84" s="4"/>
    </row>
    <row r="85" ht="15.75" customHeight="1">
      <c r="A85" s="4"/>
      <c r="B85" s="4"/>
      <c r="C85" s="4"/>
      <c r="D85" s="12"/>
      <c r="E85" s="12"/>
      <c r="F85" s="4"/>
      <c r="G85" s="4"/>
      <c r="H85" s="4"/>
    </row>
    <row r="86" ht="15.75" customHeight="1">
      <c r="A86" s="4"/>
      <c r="B86" s="4"/>
      <c r="C86" s="4"/>
      <c r="D86" s="12"/>
      <c r="E86" s="12"/>
      <c r="F86" s="4"/>
      <c r="G86" s="4"/>
      <c r="H86" s="4"/>
    </row>
    <row r="87" ht="15.75" customHeight="1">
      <c r="A87" s="4"/>
      <c r="B87" s="4"/>
      <c r="C87" s="4"/>
      <c r="D87" s="12"/>
      <c r="E87" s="12"/>
      <c r="F87" s="4"/>
      <c r="G87" s="4"/>
      <c r="H87" s="4"/>
    </row>
    <row r="88" ht="15.75" customHeight="1">
      <c r="A88" s="4"/>
      <c r="B88" s="4"/>
      <c r="C88" s="4"/>
      <c r="D88" s="12"/>
      <c r="E88" s="12"/>
      <c r="F88" s="4"/>
      <c r="G88" s="4"/>
      <c r="H88" s="4"/>
    </row>
    <row r="89" ht="15.75" customHeight="1">
      <c r="A89" s="4"/>
      <c r="B89" s="4"/>
      <c r="C89" s="4"/>
      <c r="D89" s="12"/>
      <c r="E89" s="12"/>
      <c r="F89" s="4"/>
      <c r="G89" s="4"/>
      <c r="H89" s="4"/>
    </row>
    <row r="90" ht="15.75" customHeight="1">
      <c r="A90" s="4"/>
      <c r="B90" s="4"/>
      <c r="C90" s="4"/>
      <c r="D90" s="12"/>
      <c r="E90" s="12"/>
      <c r="F90" s="4"/>
      <c r="G90" s="4"/>
      <c r="H90" s="4"/>
    </row>
    <row r="91" ht="15.75" customHeight="1">
      <c r="A91" s="4"/>
      <c r="B91" s="4"/>
      <c r="C91" s="4"/>
      <c r="D91" s="12"/>
      <c r="E91" s="12"/>
      <c r="F91" s="4"/>
      <c r="G91" s="4"/>
      <c r="H91" s="4"/>
    </row>
    <row r="92" ht="15.75" customHeight="1">
      <c r="A92" s="4"/>
      <c r="B92" s="4"/>
      <c r="C92" s="4"/>
      <c r="D92" s="12"/>
      <c r="E92" s="12"/>
      <c r="F92" s="4"/>
      <c r="G92" s="4"/>
      <c r="H92" s="4"/>
    </row>
    <row r="93" ht="15.75" customHeight="1">
      <c r="A93" s="4"/>
      <c r="B93" s="4"/>
      <c r="C93" s="4"/>
      <c r="D93" s="12"/>
      <c r="E93" s="12"/>
      <c r="F93" s="4"/>
      <c r="G93" s="4"/>
      <c r="H93" s="4"/>
    </row>
    <row r="94" ht="15.75" customHeight="1">
      <c r="A94" s="4"/>
      <c r="B94" s="4"/>
      <c r="C94" s="4"/>
      <c r="D94" s="12"/>
      <c r="E94" s="12"/>
      <c r="F94" s="4"/>
      <c r="G94" s="4"/>
      <c r="H94" s="4"/>
    </row>
    <row r="95" ht="15.75" customHeight="1">
      <c r="A95" s="4"/>
      <c r="B95" s="4"/>
      <c r="C95" s="4"/>
      <c r="D95" s="12"/>
      <c r="E95" s="12"/>
      <c r="F95" s="4"/>
      <c r="G95" s="4"/>
      <c r="H95" s="4"/>
    </row>
    <row r="96" ht="15.75" customHeight="1">
      <c r="A96" s="4"/>
      <c r="B96" s="4"/>
      <c r="C96" s="4"/>
      <c r="D96" s="12"/>
      <c r="E96" s="12"/>
      <c r="F96" s="4"/>
      <c r="G96" s="4"/>
      <c r="H96" s="4"/>
    </row>
    <row r="97" ht="15.75" customHeight="1">
      <c r="A97" s="4"/>
      <c r="B97" s="4"/>
      <c r="C97" s="4"/>
      <c r="D97" s="12"/>
      <c r="E97" s="12"/>
      <c r="F97" s="4"/>
      <c r="G97" s="4"/>
      <c r="H97" s="4"/>
    </row>
    <row r="98" ht="15.75" customHeight="1">
      <c r="A98" s="4"/>
      <c r="B98" s="4"/>
      <c r="C98" s="4"/>
      <c r="D98" s="12"/>
      <c r="E98" s="12"/>
      <c r="F98" s="4"/>
      <c r="G98" s="4"/>
      <c r="H98" s="4"/>
    </row>
    <row r="99" ht="15.75" customHeight="1">
      <c r="A99" s="4"/>
      <c r="B99" s="4"/>
      <c r="C99" s="4"/>
      <c r="D99" s="12"/>
      <c r="E99" s="12"/>
      <c r="F99" s="4"/>
      <c r="G99" s="4"/>
      <c r="H99" s="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15.0"/>
    <col customWidth="1" min="3" max="3" width="18.0"/>
    <col customWidth="1" min="4" max="4" width="14.0"/>
    <col customWidth="1" min="5" max="6" width="16.0"/>
    <col customWidth="1" min="7" max="7" width="14.0"/>
    <col customWidth="1" min="8" max="8" width="13.0"/>
    <col customWidth="1" min="9" max="9" width="10.0"/>
    <col customWidth="1" min="10" max="10" width="13.0"/>
    <col customWidth="1" min="11" max="11" width="24.0"/>
    <col customWidth="1" min="12" max="26" width="8.71"/>
  </cols>
  <sheetData>
    <row r="1" ht="27.75" customHeight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27" t="s">
        <v>36</v>
      </c>
      <c r="B2" s="27" t="s">
        <v>13</v>
      </c>
      <c r="C2" s="27" t="s">
        <v>38</v>
      </c>
      <c r="D2" s="27" t="s">
        <v>39</v>
      </c>
      <c r="E2" s="27" t="s">
        <v>390</v>
      </c>
      <c r="F2" s="27" t="s">
        <v>391</v>
      </c>
      <c r="G2" s="27" t="s">
        <v>14</v>
      </c>
      <c r="H2" s="27" t="s">
        <v>392</v>
      </c>
      <c r="I2" s="27" t="s">
        <v>393</v>
      </c>
      <c r="J2" s="27" t="s">
        <v>245</v>
      </c>
      <c r="K2" s="27" t="s">
        <v>274</v>
      </c>
    </row>
    <row r="3">
      <c r="A3" s="24">
        <v>46143.0</v>
      </c>
      <c r="B3" s="19" t="s">
        <v>30</v>
      </c>
      <c r="C3" s="19" t="s">
        <v>139</v>
      </c>
      <c r="D3" s="19" t="s">
        <v>40</v>
      </c>
      <c r="E3" s="19">
        <v>6.0</v>
      </c>
      <c r="F3" s="19">
        <v>3.0</v>
      </c>
      <c r="G3" s="22">
        <f>SUMIFS(Pedidos!$I:$I,Pedidos!$B:$B,A3,Pedidos!$D:$D,B3)</f>
        <v>0</v>
      </c>
      <c r="H3" s="23">
        <f t="shared" ref="H3:H17" si="1">IF(E3&gt;0,F3/E3,0)</f>
        <v>0.5</v>
      </c>
      <c r="I3" s="19">
        <v>23.0</v>
      </c>
      <c r="J3" s="22">
        <v>12224.0</v>
      </c>
      <c r="K3" s="19" t="s">
        <v>394</v>
      </c>
    </row>
    <row r="4">
      <c r="A4" s="24">
        <v>46144.0</v>
      </c>
      <c r="B4" s="19" t="s">
        <v>18</v>
      </c>
      <c r="C4" s="19" t="s">
        <v>97</v>
      </c>
      <c r="D4" s="19" t="s">
        <v>40</v>
      </c>
      <c r="E4" s="19">
        <v>7.0</v>
      </c>
      <c r="F4" s="19">
        <v>2.0</v>
      </c>
      <c r="G4" s="22">
        <f>SUMIFS(Pedidos!$I:$I,Pedidos!$B:$B,A4,Pedidos!$D:$D,B4)</f>
        <v>100961</v>
      </c>
      <c r="H4" s="23">
        <f t="shared" si="1"/>
        <v>0.2857142857</v>
      </c>
      <c r="I4" s="19">
        <v>39.0</v>
      </c>
      <c r="J4" s="22">
        <v>11696.0</v>
      </c>
      <c r="K4" s="19" t="s">
        <v>394</v>
      </c>
    </row>
    <row r="5">
      <c r="A5" s="24">
        <v>46145.0</v>
      </c>
      <c r="B5" s="19" t="s">
        <v>24</v>
      </c>
      <c r="C5" s="19" t="s">
        <v>148</v>
      </c>
      <c r="D5" s="19" t="s">
        <v>40</v>
      </c>
      <c r="E5" s="19">
        <v>8.0</v>
      </c>
      <c r="F5" s="19">
        <v>1.0</v>
      </c>
      <c r="G5" s="22">
        <f>SUMIFS(Pedidos!$I:$I,Pedidos!$B:$B,A5,Pedidos!$D:$D,B5)</f>
        <v>0</v>
      </c>
      <c r="H5" s="23">
        <f t="shared" si="1"/>
        <v>0.125</v>
      </c>
      <c r="I5" s="19">
        <v>48.0</v>
      </c>
      <c r="J5" s="22">
        <v>16272.0</v>
      </c>
      <c r="K5" s="19" t="s">
        <v>394</v>
      </c>
    </row>
    <row r="6">
      <c r="A6" s="24">
        <v>46146.0</v>
      </c>
      <c r="B6" s="19" t="s">
        <v>30</v>
      </c>
      <c r="C6" s="19" t="s">
        <v>139</v>
      </c>
      <c r="D6" s="19" t="s">
        <v>40</v>
      </c>
      <c r="E6" s="19">
        <v>4.0</v>
      </c>
      <c r="F6" s="19">
        <v>1.0</v>
      </c>
      <c r="G6" s="22">
        <f>SUMIFS(Pedidos!$I:$I,Pedidos!$B:$B,A6,Pedidos!$D:$D,B6)</f>
        <v>0</v>
      </c>
      <c r="H6" s="23">
        <f t="shared" si="1"/>
        <v>0.25</v>
      </c>
      <c r="I6" s="19">
        <v>42.0</v>
      </c>
      <c r="J6" s="22">
        <v>11531.0</v>
      </c>
      <c r="K6" s="19" t="s">
        <v>394</v>
      </c>
    </row>
    <row r="7">
      <c r="A7" s="24">
        <v>46147.0</v>
      </c>
      <c r="B7" s="19" t="s">
        <v>24</v>
      </c>
      <c r="C7" s="19" t="s">
        <v>97</v>
      </c>
      <c r="D7" s="19" t="s">
        <v>40</v>
      </c>
      <c r="E7" s="19">
        <v>7.0</v>
      </c>
      <c r="F7" s="19">
        <v>7.0</v>
      </c>
      <c r="G7" s="22">
        <f>SUMIFS(Pedidos!$I:$I,Pedidos!$B:$B,A7,Pedidos!$D:$D,B7)</f>
        <v>102950</v>
      </c>
      <c r="H7" s="23">
        <f t="shared" si="1"/>
        <v>1</v>
      </c>
      <c r="I7" s="19">
        <v>58.0</v>
      </c>
      <c r="J7" s="22">
        <v>15895.0</v>
      </c>
      <c r="K7" s="19" t="s">
        <v>394</v>
      </c>
    </row>
    <row r="8">
      <c r="A8" s="24">
        <v>46148.0</v>
      </c>
      <c r="B8" s="19" t="s">
        <v>18</v>
      </c>
      <c r="C8" s="19" t="s">
        <v>158</v>
      </c>
      <c r="D8" s="19" t="s">
        <v>40</v>
      </c>
      <c r="E8" s="19">
        <v>9.0</v>
      </c>
      <c r="F8" s="19">
        <v>7.0</v>
      </c>
      <c r="G8" s="22">
        <f>SUMIFS(Pedidos!$I:$I,Pedidos!$B:$B,A8,Pedidos!$D:$D,B8)</f>
        <v>272160</v>
      </c>
      <c r="H8" s="23">
        <f t="shared" si="1"/>
        <v>0.7777777778</v>
      </c>
      <c r="I8" s="19">
        <v>47.0</v>
      </c>
      <c r="J8" s="22">
        <v>18152.0</v>
      </c>
      <c r="K8" s="19" t="s">
        <v>394</v>
      </c>
    </row>
    <row r="9">
      <c r="A9" s="24">
        <v>46149.0</v>
      </c>
      <c r="B9" s="19" t="s">
        <v>28</v>
      </c>
      <c r="C9" s="19" t="s">
        <v>109</v>
      </c>
      <c r="D9" s="19" t="s">
        <v>40</v>
      </c>
      <c r="E9" s="19">
        <v>9.0</v>
      </c>
      <c r="F9" s="19">
        <v>3.0</v>
      </c>
      <c r="G9" s="22">
        <f>SUMIFS(Pedidos!$I:$I,Pedidos!$B:$B,A9,Pedidos!$D:$D,B9)</f>
        <v>0</v>
      </c>
      <c r="H9" s="23">
        <f t="shared" si="1"/>
        <v>0.3333333333</v>
      </c>
      <c r="I9" s="19">
        <v>28.0</v>
      </c>
      <c r="J9" s="22">
        <v>9162.0</v>
      </c>
      <c r="K9" s="19" t="s">
        <v>394</v>
      </c>
    </row>
    <row r="10">
      <c r="A10" s="24">
        <v>46150.0</v>
      </c>
      <c r="B10" s="19" t="s">
        <v>18</v>
      </c>
      <c r="C10" s="19" t="s">
        <v>97</v>
      </c>
      <c r="D10" s="19" t="s">
        <v>40</v>
      </c>
      <c r="E10" s="19">
        <v>8.0</v>
      </c>
      <c r="F10" s="19">
        <v>8.0</v>
      </c>
      <c r="G10" s="22">
        <f>SUMIFS(Pedidos!$I:$I,Pedidos!$B:$B,A10,Pedidos!$D:$D,B10)</f>
        <v>0</v>
      </c>
      <c r="H10" s="23">
        <f t="shared" si="1"/>
        <v>1</v>
      </c>
      <c r="I10" s="19">
        <v>59.0</v>
      </c>
      <c r="J10" s="22">
        <v>9789.0</v>
      </c>
      <c r="K10" s="19" t="s">
        <v>394</v>
      </c>
    </row>
    <row r="11">
      <c r="A11" s="24">
        <v>46151.0</v>
      </c>
      <c r="B11" s="19" t="s">
        <v>26</v>
      </c>
      <c r="C11" s="19" t="s">
        <v>158</v>
      </c>
      <c r="D11" s="19" t="s">
        <v>40</v>
      </c>
      <c r="E11" s="19">
        <v>8.0</v>
      </c>
      <c r="F11" s="19">
        <v>8.0</v>
      </c>
      <c r="G11" s="22">
        <f>SUMIFS(Pedidos!$I:$I,Pedidos!$B:$B,A11,Pedidos!$D:$D,B11)</f>
        <v>0</v>
      </c>
      <c r="H11" s="23">
        <f t="shared" si="1"/>
        <v>1</v>
      </c>
      <c r="I11" s="19">
        <v>60.0</v>
      </c>
      <c r="J11" s="22">
        <v>16482.0</v>
      </c>
      <c r="K11" s="19" t="s">
        <v>394</v>
      </c>
    </row>
    <row r="12">
      <c r="A12" s="24">
        <v>46152.0</v>
      </c>
      <c r="B12" s="19" t="s">
        <v>20</v>
      </c>
      <c r="C12" s="19" t="s">
        <v>148</v>
      </c>
      <c r="D12" s="19" t="s">
        <v>40</v>
      </c>
      <c r="E12" s="19">
        <v>8.0</v>
      </c>
      <c r="F12" s="19">
        <v>3.0</v>
      </c>
      <c r="G12" s="22">
        <f>SUMIFS(Pedidos!$I:$I,Pedidos!$B:$B,A12,Pedidos!$D:$D,B12)</f>
        <v>0</v>
      </c>
      <c r="H12" s="23">
        <f t="shared" si="1"/>
        <v>0.375</v>
      </c>
      <c r="I12" s="19">
        <v>19.0</v>
      </c>
      <c r="J12" s="22">
        <v>5466.0</v>
      </c>
      <c r="K12" s="19" t="s">
        <v>394</v>
      </c>
    </row>
    <row r="13">
      <c r="A13" s="24">
        <v>46153.0</v>
      </c>
      <c r="B13" s="19" t="s">
        <v>30</v>
      </c>
      <c r="C13" s="19" t="s">
        <v>139</v>
      </c>
      <c r="D13" s="19" t="s">
        <v>40</v>
      </c>
      <c r="E13" s="19">
        <v>9.0</v>
      </c>
      <c r="F13" s="19">
        <v>2.0</v>
      </c>
      <c r="G13" s="22">
        <f>SUMIFS(Pedidos!$I:$I,Pedidos!$B:$B,A13,Pedidos!$D:$D,B13)</f>
        <v>0</v>
      </c>
      <c r="H13" s="23">
        <f t="shared" si="1"/>
        <v>0.2222222222</v>
      </c>
      <c r="I13" s="19">
        <v>51.0</v>
      </c>
      <c r="J13" s="22">
        <v>9562.0</v>
      </c>
      <c r="K13" s="19" t="s">
        <v>394</v>
      </c>
    </row>
    <row r="14">
      <c r="A14" s="24">
        <v>46154.0</v>
      </c>
      <c r="B14" s="19" t="s">
        <v>24</v>
      </c>
      <c r="C14" s="19" t="s">
        <v>158</v>
      </c>
      <c r="D14" s="19" t="s">
        <v>40</v>
      </c>
      <c r="E14" s="19">
        <v>5.0</v>
      </c>
      <c r="F14" s="19">
        <v>2.0</v>
      </c>
      <c r="G14" s="22">
        <f>SUMIFS(Pedidos!$I:$I,Pedidos!$B:$B,A14,Pedidos!$D:$D,B14)</f>
        <v>0</v>
      </c>
      <c r="H14" s="23">
        <f t="shared" si="1"/>
        <v>0.4</v>
      </c>
      <c r="I14" s="19">
        <v>19.0</v>
      </c>
      <c r="J14" s="22">
        <v>13252.0</v>
      </c>
      <c r="K14" s="19" t="s">
        <v>394</v>
      </c>
    </row>
    <row r="15">
      <c r="A15" s="24">
        <v>46155.0</v>
      </c>
      <c r="B15" s="19" t="s">
        <v>20</v>
      </c>
      <c r="C15" s="19" t="s">
        <v>76</v>
      </c>
      <c r="D15" s="19" t="s">
        <v>40</v>
      </c>
      <c r="E15" s="19">
        <v>8.0</v>
      </c>
      <c r="F15" s="19">
        <v>4.0</v>
      </c>
      <c r="G15" s="22">
        <f>SUMIFS(Pedidos!$I:$I,Pedidos!$B:$B,A15,Pedidos!$D:$D,B15)</f>
        <v>971207.5</v>
      </c>
      <c r="H15" s="23">
        <f t="shared" si="1"/>
        <v>0.5</v>
      </c>
      <c r="I15" s="19">
        <v>55.0</v>
      </c>
      <c r="J15" s="22">
        <v>15682.0</v>
      </c>
      <c r="K15" s="19" t="s">
        <v>394</v>
      </c>
    </row>
    <row r="16">
      <c r="A16" s="24">
        <v>46156.0</v>
      </c>
      <c r="B16" s="19" t="s">
        <v>22</v>
      </c>
      <c r="C16" s="19" t="s">
        <v>148</v>
      </c>
      <c r="D16" s="19" t="s">
        <v>40</v>
      </c>
      <c r="E16" s="19">
        <v>7.0</v>
      </c>
      <c r="F16" s="19">
        <v>7.0</v>
      </c>
      <c r="G16" s="22">
        <f>SUMIFS(Pedidos!$I:$I,Pedidos!$B:$B,A16,Pedidos!$D:$D,B16)</f>
        <v>0</v>
      </c>
      <c r="H16" s="23">
        <f t="shared" si="1"/>
        <v>1</v>
      </c>
      <c r="I16" s="19">
        <v>26.0</v>
      </c>
      <c r="J16" s="22">
        <v>6995.0</v>
      </c>
      <c r="K16" s="19" t="s">
        <v>394</v>
      </c>
    </row>
    <row r="17">
      <c r="A17" s="24">
        <v>46157.0</v>
      </c>
      <c r="B17" s="19" t="s">
        <v>28</v>
      </c>
      <c r="C17" s="19" t="s">
        <v>76</v>
      </c>
      <c r="D17" s="19" t="s">
        <v>40</v>
      </c>
      <c r="E17" s="19">
        <v>7.0</v>
      </c>
      <c r="F17" s="19">
        <v>6.0</v>
      </c>
      <c r="G17" s="22">
        <f>SUMIFS(Pedidos!$I:$I,Pedidos!$B:$B,A17,Pedidos!$D:$D,B17)</f>
        <v>0</v>
      </c>
      <c r="H17" s="23">
        <f t="shared" si="1"/>
        <v>0.8571428571</v>
      </c>
      <c r="I17" s="19">
        <v>55.0</v>
      </c>
      <c r="J17" s="22">
        <v>21933.0</v>
      </c>
      <c r="K17" s="19" t="s">
        <v>394</v>
      </c>
    </row>
    <row r="18">
      <c r="A18" s="26"/>
      <c r="B18" s="4"/>
      <c r="C18" s="4"/>
      <c r="D18" s="4"/>
      <c r="E18" s="4"/>
      <c r="F18" s="4"/>
      <c r="G18" s="12"/>
      <c r="H18" s="25"/>
      <c r="I18" s="4"/>
      <c r="J18" s="12"/>
      <c r="K18" s="4"/>
    </row>
    <row r="19">
      <c r="A19" s="26"/>
      <c r="B19" s="4"/>
      <c r="C19" s="4"/>
      <c r="D19" s="4"/>
      <c r="E19" s="4"/>
      <c r="F19" s="4"/>
      <c r="G19" s="12"/>
      <c r="H19" s="25"/>
      <c r="I19" s="4"/>
      <c r="J19" s="12"/>
      <c r="K19" s="4"/>
    </row>
    <row r="20">
      <c r="A20" s="26"/>
      <c r="B20" s="4"/>
      <c r="C20" s="4"/>
      <c r="D20" s="4"/>
      <c r="E20" s="4"/>
      <c r="F20" s="4"/>
      <c r="G20" s="12"/>
      <c r="H20" s="25"/>
      <c r="I20" s="4"/>
      <c r="J20" s="12"/>
      <c r="K20" s="4"/>
    </row>
    <row r="21" ht="15.75" customHeight="1">
      <c r="A21" s="26"/>
      <c r="B21" s="4"/>
      <c r="C21" s="4"/>
      <c r="D21" s="4"/>
      <c r="E21" s="4"/>
      <c r="F21" s="4"/>
      <c r="G21" s="12"/>
      <c r="H21" s="25"/>
      <c r="I21" s="4"/>
      <c r="J21" s="12"/>
      <c r="K21" s="4"/>
    </row>
    <row r="22" ht="15.75" customHeight="1">
      <c r="A22" s="26"/>
      <c r="B22" s="4"/>
      <c r="C22" s="4"/>
      <c r="D22" s="4"/>
      <c r="E22" s="4"/>
      <c r="F22" s="4"/>
      <c r="G22" s="12"/>
      <c r="H22" s="25"/>
      <c r="I22" s="4"/>
      <c r="J22" s="12"/>
      <c r="K22" s="4"/>
    </row>
    <row r="23" ht="15.75" customHeight="1">
      <c r="A23" s="26"/>
      <c r="B23" s="4"/>
      <c r="C23" s="4"/>
      <c r="D23" s="4"/>
      <c r="E23" s="4"/>
      <c r="F23" s="4"/>
      <c r="G23" s="12"/>
      <c r="H23" s="25"/>
      <c r="I23" s="4"/>
      <c r="J23" s="12"/>
      <c r="K23" s="4"/>
    </row>
    <row r="24" ht="15.75" customHeight="1">
      <c r="A24" s="26"/>
      <c r="B24" s="4"/>
      <c r="C24" s="4"/>
      <c r="D24" s="4"/>
      <c r="E24" s="4"/>
      <c r="F24" s="4"/>
      <c r="G24" s="12"/>
      <c r="H24" s="25"/>
      <c r="I24" s="4"/>
      <c r="J24" s="12"/>
      <c r="K24" s="4"/>
    </row>
    <row r="25" ht="15.75" customHeight="1">
      <c r="A25" s="26"/>
      <c r="B25" s="4"/>
      <c r="C25" s="4"/>
      <c r="D25" s="4"/>
      <c r="E25" s="4"/>
      <c r="F25" s="4"/>
      <c r="G25" s="12"/>
      <c r="H25" s="25"/>
      <c r="I25" s="4"/>
      <c r="J25" s="12"/>
      <c r="K25" s="4"/>
    </row>
    <row r="26" ht="15.75" customHeight="1">
      <c r="A26" s="26"/>
      <c r="B26" s="4"/>
      <c r="C26" s="4"/>
      <c r="D26" s="4"/>
      <c r="E26" s="4"/>
      <c r="F26" s="4"/>
      <c r="G26" s="12"/>
      <c r="H26" s="25"/>
      <c r="I26" s="4"/>
      <c r="J26" s="12"/>
      <c r="K26" s="4"/>
    </row>
    <row r="27" ht="15.75" customHeight="1">
      <c r="A27" s="26"/>
      <c r="B27" s="4"/>
      <c r="C27" s="4"/>
      <c r="D27" s="4"/>
      <c r="E27" s="4"/>
      <c r="F27" s="4"/>
      <c r="G27" s="12"/>
      <c r="H27" s="25"/>
      <c r="I27" s="4"/>
      <c r="J27" s="12"/>
      <c r="K27" s="4"/>
    </row>
    <row r="28" ht="15.75" customHeight="1">
      <c r="A28" s="26"/>
      <c r="B28" s="4"/>
      <c r="C28" s="4"/>
      <c r="D28" s="4"/>
      <c r="E28" s="4"/>
      <c r="F28" s="4"/>
      <c r="G28" s="12"/>
      <c r="H28" s="25"/>
      <c r="I28" s="4"/>
      <c r="J28" s="12"/>
      <c r="K28" s="4"/>
    </row>
    <row r="29" ht="15.75" customHeight="1">
      <c r="A29" s="26"/>
      <c r="B29" s="4"/>
      <c r="C29" s="4"/>
      <c r="D29" s="4"/>
      <c r="E29" s="4"/>
      <c r="F29" s="4"/>
      <c r="G29" s="12"/>
      <c r="H29" s="25"/>
      <c r="I29" s="4"/>
      <c r="J29" s="12"/>
      <c r="K29" s="4"/>
    </row>
    <row r="30" ht="15.75" customHeight="1">
      <c r="A30" s="26"/>
      <c r="B30" s="4"/>
      <c r="C30" s="4"/>
      <c r="D30" s="4"/>
      <c r="E30" s="4"/>
      <c r="F30" s="4"/>
      <c r="G30" s="12"/>
      <c r="H30" s="25"/>
      <c r="I30" s="4"/>
      <c r="J30" s="12"/>
      <c r="K30" s="4"/>
    </row>
    <row r="31" ht="15.75" customHeight="1">
      <c r="A31" s="26"/>
      <c r="B31" s="4"/>
      <c r="C31" s="4"/>
      <c r="D31" s="4"/>
      <c r="E31" s="4"/>
      <c r="F31" s="4"/>
      <c r="G31" s="12"/>
      <c r="H31" s="25"/>
      <c r="I31" s="4"/>
      <c r="J31" s="12"/>
      <c r="K31" s="4"/>
    </row>
    <row r="32" ht="15.75" customHeight="1">
      <c r="A32" s="26"/>
      <c r="B32" s="4"/>
      <c r="C32" s="4"/>
      <c r="D32" s="4"/>
      <c r="E32" s="4"/>
      <c r="F32" s="4"/>
      <c r="G32" s="12"/>
      <c r="H32" s="25"/>
      <c r="I32" s="4"/>
      <c r="J32" s="12"/>
      <c r="K32" s="4"/>
    </row>
    <row r="33" ht="15.75" customHeight="1">
      <c r="A33" s="26"/>
      <c r="B33" s="4"/>
      <c r="C33" s="4"/>
      <c r="D33" s="4"/>
      <c r="E33" s="4"/>
      <c r="F33" s="4"/>
      <c r="G33" s="12"/>
      <c r="H33" s="25"/>
      <c r="I33" s="4"/>
      <c r="J33" s="12"/>
      <c r="K33" s="4"/>
    </row>
    <row r="34" ht="15.75" customHeight="1">
      <c r="A34" s="26"/>
      <c r="B34" s="4"/>
      <c r="C34" s="4"/>
      <c r="D34" s="4"/>
      <c r="E34" s="4"/>
      <c r="F34" s="4"/>
      <c r="G34" s="12"/>
      <c r="H34" s="25"/>
      <c r="I34" s="4"/>
      <c r="J34" s="12"/>
      <c r="K34" s="4"/>
    </row>
    <row r="35" ht="15.75" customHeight="1">
      <c r="A35" s="26"/>
      <c r="B35" s="4"/>
      <c r="C35" s="4"/>
      <c r="D35" s="4"/>
      <c r="E35" s="4"/>
      <c r="F35" s="4"/>
      <c r="G35" s="12"/>
      <c r="H35" s="25"/>
      <c r="I35" s="4"/>
      <c r="J35" s="12"/>
      <c r="K35" s="4"/>
    </row>
    <row r="36" ht="15.75" customHeight="1">
      <c r="A36" s="26"/>
      <c r="B36" s="4"/>
      <c r="C36" s="4"/>
      <c r="D36" s="4"/>
      <c r="E36" s="4"/>
      <c r="F36" s="4"/>
      <c r="G36" s="12"/>
      <c r="H36" s="25"/>
      <c r="I36" s="4"/>
      <c r="J36" s="12"/>
      <c r="K36" s="4"/>
    </row>
    <row r="37" ht="15.75" customHeight="1">
      <c r="A37" s="26"/>
      <c r="B37" s="4"/>
      <c r="C37" s="4"/>
      <c r="D37" s="4"/>
      <c r="E37" s="4"/>
      <c r="F37" s="4"/>
      <c r="G37" s="12"/>
      <c r="H37" s="25"/>
      <c r="I37" s="4"/>
      <c r="J37" s="12"/>
      <c r="K37" s="4"/>
    </row>
    <row r="38" ht="15.75" customHeight="1">
      <c r="A38" s="26"/>
      <c r="B38" s="4"/>
      <c r="C38" s="4"/>
      <c r="D38" s="4"/>
      <c r="E38" s="4"/>
      <c r="F38" s="4"/>
      <c r="G38" s="12"/>
      <c r="H38" s="25"/>
      <c r="I38" s="4"/>
      <c r="J38" s="12"/>
      <c r="K38" s="4"/>
    </row>
    <row r="39" ht="15.75" customHeight="1">
      <c r="A39" s="26"/>
      <c r="B39" s="4"/>
      <c r="C39" s="4"/>
      <c r="D39" s="4"/>
      <c r="E39" s="4"/>
      <c r="F39" s="4"/>
      <c r="G39" s="12"/>
      <c r="H39" s="25"/>
      <c r="I39" s="4"/>
      <c r="J39" s="12"/>
      <c r="K39" s="4"/>
    </row>
    <row r="40" ht="15.75" customHeight="1">
      <c r="A40" s="26"/>
      <c r="B40" s="4"/>
      <c r="C40" s="4"/>
      <c r="D40" s="4"/>
      <c r="E40" s="4"/>
      <c r="F40" s="4"/>
      <c r="G40" s="12"/>
      <c r="H40" s="25"/>
      <c r="I40" s="4"/>
      <c r="J40" s="12"/>
      <c r="K40" s="4"/>
    </row>
    <row r="41" ht="15.75" customHeight="1">
      <c r="A41" s="26"/>
      <c r="B41" s="4"/>
      <c r="C41" s="4"/>
      <c r="D41" s="4"/>
      <c r="E41" s="4"/>
      <c r="F41" s="4"/>
      <c r="G41" s="12"/>
      <c r="H41" s="25"/>
      <c r="I41" s="4"/>
      <c r="J41" s="12"/>
      <c r="K41" s="4"/>
    </row>
    <row r="42" ht="15.75" customHeight="1">
      <c r="A42" s="26"/>
      <c r="B42" s="4"/>
      <c r="C42" s="4"/>
      <c r="D42" s="4"/>
      <c r="E42" s="4"/>
      <c r="F42" s="4"/>
      <c r="G42" s="12"/>
      <c r="H42" s="25"/>
      <c r="I42" s="4"/>
      <c r="J42" s="12"/>
      <c r="K42" s="4"/>
    </row>
    <row r="43" ht="15.75" customHeight="1">
      <c r="A43" s="26"/>
      <c r="B43" s="4"/>
      <c r="C43" s="4"/>
      <c r="D43" s="4"/>
      <c r="E43" s="4"/>
      <c r="F43" s="4"/>
      <c r="G43" s="12"/>
      <c r="H43" s="25"/>
      <c r="I43" s="4"/>
      <c r="J43" s="12"/>
      <c r="K43" s="4"/>
    </row>
    <row r="44" ht="15.75" customHeight="1">
      <c r="A44" s="26"/>
      <c r="B44" s="4"/>
      <c r="C44" s="4"/>
      <c r="D44" s="4"/>
      <c r="E44" s="4"/>
      <c r="F44" s="4"/>
      <c r="G44" s="12"/>
      <c r="H44" s="25"/>
      <c r="I44" s="4"/>
      <c r="J44" s="12"/>
      <c r="K44" s="4"/>
    </row>
    <row r="45" ht="15.75" customHeight="1">
      <c r="A45" s="26"/>
      <c r="B45" s="4"/>
      <c r="C45" s="4"/>
      <c r="D45" s="4"/>
      <c r="E45" s="4"/>
      <c r="F45" s="4"/>
      <c r="G45" s="12"/>
      <c r="H45" s="25"/>
      <c r="I45" s="4"/>
      <c r="J45" s="12"/>
      <c r="K45" s="4"/>
    </row>
    <row r="46" ht="15.75" customHeight="1">
      <c r="A46" s="26"/>
      <c r="B46" s="4"/>
      <c r="C46" s="4"/>
      <c r="D46" s="4"/>
      <c r="E46" s="4"/>
      <c r="F46" s="4"/>
      <c r="G46" s="12"/>
      <c r="H46" s="25"/>
      <c r="I46" s="4"/>
      <c r="J46" s="12"/>
      <c r="K46" s="4"/>
    </row>
    <row r="47" ht="15.75" customHeight="1">
      <c r="A47" s="26"/>
      <c r="B47" s="4"/>
      <c r="C47" s="4"/>
      <c r="D47" s="4"/>
      <c r="E47" s="4"/>
      <c r="F47" s="4"/>
      <c r="G47" s="12"/>
      <c r="H47" s="25"/>
      <c r="I47" s="4"/>
      <c r="J47" s="12"/>
      <c r="K47" s="4"/>
    </row>
    <row r="48" ht="15.75" customHeight="1">
      <c r="A48" s="26"/>
      <c r="B48" s="4"/>
      <c r="C48" s="4"/>
      <c r="D48" s="4"/>
      <c r="E48" s="4"/>
      <c r="F48" s="4"/>
      <c r="G48" s="12"/>
      <c r="H48" s="25"/>
      <c r="I48" s="4"/>
      <c r="J48" s="12"/>
      <c r="K48" s="4"/>
    </row>
    <row r="49" ht="15.75" customHeight="1">
      <c r="A49" s="26"/>
      <c r="B49" s="4"/>
      <c r="C49" s="4"/>
      <c r="D49" s="4"/>
      <c r="E49" s="4"/>
      <c r="F49" s="4"/>
      <c r="G49" s="12"/>
      <c r="H49" s="25"/>
      <c r="I49" s="4"/>
      <c r="J49" s="12"/>
      <c r="K49" s="4"/>
    </row>
    <row r="50" ht="15.75" customHeight="1">
      <c r="A50" s="26"/>
      <c r="B50" s="4"/>
      <c r="C50" s="4"/>
      <c r="D50" s="4"/>
      <c r="E50" s="4"/>
      <c r="F50" s="4"/>
      <c r="G50" s="12"/>
      <c r="H50" s="25"/>
      <c r="I50" s="4"/>
      <c r="J50" s="12"/>
      <c r="K50" s="4"/>
    </row>
    <row r="51" ht="15.75" customHeight="1">
      <c r="A51" s="26"/>
      <c r="B51" s="4"/>
      <c r="C51" s="4"/>
      <c r="D51" s="4"/>
      <c r="E51" s="4"/>
      <c r="F51" s="4"/>
      <c r="G51" s="12"/>
      <c r="H51" s="25"/>
      <c r="I51" s="4"/>
      <c r="J51" s="12"/>
      <c r="K51" s="4"/>
    </row>
    <row r="52" ht="15.75" customHeight="1">
      <c r="A52" s="26"/>
      <c r="B52" s="4"/>
      <c r="C52" s="4"/>
      <c r="D52" s="4"/>
      <c r="E52" s="4"/>
      <c r="F52" s="4"/>
      <c r="G52" s="12"/>
      <c r="H52" s="25"/>
      <c r="I52" s="4"/>
      <c r="J52" s="12"/>
      <c r="K52" s="4"/>
    </row>
    <row r="53" ht="15.75" customHeight="1">
      <c r="A53" s="26"/>
      <c r="B53" s="4"/>
      <c r="C53" s="4"/>
      <c r="D53" s="4"/>
      <c r="E53" s="4"/>
      <c r="F53" s="4"/>
      <c r="G53" s="12"/>
      <c r="H53" s="25"/>
      <c r="I53" s="4"/>
      <c r="J53" s="12"/>
      <c r="K53" s="4"/>
    </row>
    <row r="54" ht="15.75" customHeight="1">
      <c r="A54" s="26"/>
      <c r="B54" s="4"/>
      <c r="C54" s="4"/>
      <c r="D54" s="4"/>
      <c r="E54" s="4"/>
      <c r="F54" s="4"/>
      <c r="G54" s="12"/>
      <c r="H54" s="25"/>
      <c r="I54" s="4"/>
      <c r="J54" s="12"/>
      <c r="K54" s="4"/>
    </row>
    <row r="55" ht="15.75" customHeight="1">
      <c r="A55" s="26"/>
      <c r="B55" s="4"/>
      <c r="C55" s="4"/>
      <c r="D55" s="4"/>
      <c r="E55" s="4"/>
      <c r="F55" s="4"/>
      <c r="G55" s="12"/>
      <c r="H55" s="25"/>
      <c r="I55" s="4"/>
      <c r="J55" s="12"/>
      <c r="K55" s="4"/>
    </row>
    <row r="56" ht="15.75" customHeight="1">
      <c r="A56" s="26"/>
      <c r="B56" s="4"/>
      <c r="C56" s="4"/>
      <c r="D56" s="4"/>
      <c r="E56" s="4"/>
      <c r="F56" s="4"/>
      <c r="G56" s="12"/>
      <c r="H56" s="25"/>
      <c r="I56" s="4"/>
      <c r="J56" s="12"/>
      <c r="K56" s="4"/>
    </row>
    <row r="57" ht="15.75" customHeight="1">
      <c r="A57" s="26"/>
      <c r="B57" s="4"/>
      <c r="C57" s="4"/>
      <c r="D57" s="4"/>
      <c r="E57" s="4"/>
      <c r="F57" s="4"/>
      <c r="G57" s="12"/>
      <c r="H57" s="25"/>
      <c r="I57" s="4"/>
      <c r="J57" s="12"/>
      <c r="K57" s="4"/>
    </row>
    <row r="58" ht="15.75" customHeight="1">
      <c r="A58" s="26"/>
      <c r="B58" s="4"/>
      <c r="C58" s="4"/>
      <c r="D58" s="4"/>
      <c r="E58" s="4"/>
      <c r="F58" s="4"/>
      <c r="G58" s="12"/>
      <c r="H58" s="25"/>
      <c r="I58" s="4"/>
      <c r="J58" s="12"/>
      <c r="K58" s="4"/>
    </row>
    <row r="59" ht="15.75" customHeight="1">
      <c r="A59" s="26"/>
      <c r="B59" s="4"/>
      <c r="C59" s="4"/>
      <c r="D59" s="4"/>
      <c r="E59" s="4"/>
      <c r="F59" s="4"/>
      <c r="G59" s="12"/>
      <c r="H59" s="25"/>
      <c r="I59" s="4"/>
      <c r="J59" s="12"/>
      <c r="K59" s="4"/>
    </row>
    <row r="60" ht="15.75" customHeight="1">
      <c r="A60" s="26"/>
      <c r="B60" s="4"/>
      <c r="C60" s="4"/>
      <c r="D60" s="4"/>
      <c r="E60" s="4"/>
      <c r="F60" s="4"/>
      <c r="G60" s="12"/>
      <c r="H60" s="25"/>
      <c r="I60" s="4"/>
      <c r="J60" s="12"/>
      <c r="K60" s="4"/>
    </row>
    <row r="61" ht="15.75" customHeight="1">
      <c r="A61" s="26"/>
      <c r="B61" s="4"/>
      <c r="C61" s="4"/>
      <c r="D61" s="4"/>
      <c r="E61" s="4"/>
      <c r="F61" s="4"/>
      <c r="G61" s="12"/>
      <c r="H61" s="25"/>
      <c r="I61" s="4"/>
      <c r="J61" s="12"/>
      <c r="K61" s="4"/>
    </row>
    <row r="62" ht="15.75" customHeight="1">
      <c r="A62" s="26"/>
      <c r="B62" s="4"/>
      <c r="C62" s="4"/>
      <c r="D62" s="4"/>
      <c r="E62" s="4"/>
      <c r="F62" s="4"/>
      <c r="G62" s="12"/>
      <c r="H62" s="25"/>
      <c r="I62" s="4"/>
      <c r="J62" s="12"/>
      <c r="K62" s="4"/>
    </row>
    <row r="63" ht="15.75" customHeight="1">
      <c r="A63" s="26"/>
      <c r="B63" s="4"/>
      <c r="C63" s="4"/>
      <c r="D63" s="4"/>
      <c r="E63" s="4"/>
      <c r="F63" s="4"/>
      <c r="G63" s="12"/>
      <c r="H63" s="25"/>
      <c r="I63" s="4"/>
      <c r="J63" s="12"/>
      <c r="K63" s="4"/>
    </row>
    <row r="64" ht="15.75" customHeight="1">
      <c r="A64" s="26"/>
      <c r="B64" s="4"/>
      <c r="C64" s="4"/>
      <c r="D64" s="4"/>
      <c r="E64" s="4"/>
      <c r="F64" s="4"/>
      <c r="G64" s="12"/>
      <c r="H64" s="25"/>
      <c r="I64" s="4"/>
      <c r="J64" s="12"/>
      <c r="K64" s="4"/>
    </row>
    <row r="65" ht="15.75" customHeight="1">
      <c r="A65" s="26"/>
      <c r="B65" s="4"/>
      <c r="C65" s="4"/>
      <c r="D65" s="4"/>
      <c r="E65" s="4"/>
      <c r="F65" s="4"/>
      <c r="G65" s="12"/>
      <c r="H65" s="25"/>
      <c r="I65" s="4"/>
      <c r="J65" s="12"/>
      <c r="K65" s="4"/>
    </row>
    <row r="66" ht="15.75" customHeight="1">
      <c r="A66" s="26"/>
      <c r="B66" s="4"/>
      <c r="C66" s="4"/>
      <c r="D66" s="4"/>
      <c r="E66" s="4"/>
      <c r="F66" s="4"/>
      <c r="G66" s="12"/>
      <c r="H66" s="25"/>
      <c r="I66" s="4"/>
      <c r="J66" s="12"/>
      <c r="K66" s="4"/>
    </row>
    <row r="67" ht="15.75" customHeight="1">
      <c r="A67" s="26"/>
      <c r="B67" s="4"/>
      <c r="C67" s="4"/>
      <c r="D67" s="4"/>
      <c r="E67" s="4"/>
      <c r="F67" s="4"/>
      <c r="G67" s="12"/>
      <c r="H67" s="25"/>
      <c r="I67" s="4"/>
      <c r="J67" s="12"/>
      <c r="K67" s="4"/>
    </row>
    <row r="68" ht="15.75" customHeight="1">
      <c r="A68" s="26"/>
      <c r="B68" s="4"/>
      <c r="C68" s="4"/>
      <c r="D68" s="4"/>
      <c r="E68" s="4"/>
      <c r="F68" s="4"/>
      <c r="G68" s="12"/>
      <c r="H68" s="25"/>
      <c r="I68" s="4"/>
      <c r="J68" s="12"/>
      <c r="K68" s="4"/>
    </row>
    <row r="69" ht="15.75" customHeight="1">
      <c r="A69" s="26"/>
      <c r="B69" s="4"/>
      <c r="C69" s="4"/>
      <c r="D69" s="4"/>
      <c r="E69" s="4"/>
      <c r="F69" s="4"/>
      <c r="G69" s="12"/>
      <c r="H69" s="25"/>
      <c r="I69" s="4"/>
      <c r="J69" s="12"/>
      <c r="K69" s="4"/>
    </row>
    <row r="70" ht="15.75" customHeight="1">
      <c r="A70" s="26"/>
      <c r="B70" s="4"/>
      <c r="C70" s="4"/>
      <c r="D70" s="4"/>
      <c r="E70" s="4"/>
      <c r="F70" s="4"/>
      <c r="G70" s="12"/>
      <c r="H70" s="25"/>
      <c r="I70" s="4"/>
      <c r="J70" s="12"/>
      <c r="K70" s="4"/>
    </row>
    <row r="71" ht="15.75" customHeight="1">
      <c r="A71" s="26"/>
      <c r="B71" s="4"/>
      <c r="C71" s="4"/>
      <c r="D71" s="4"/>
      <c r="E71" s="4"/>
      <c r="F71" s="4"/>
      <c r="G71" s="12"/>
      <c r="H71" s="25"/>
      <c r="I71" s="4"/>
      <c r="J71" s="12"/>
      <c r="K71" s="4"/>
    </row>
    <row r="72" ht="15.75" customHeight="1">
      <c r="A72" s="26"/>
      <c r="B72" s="4"/>
      <c r="C72" s="4"/>
      <c r="D72" s="4"/>
      <c r="E72" s="4"/>
      <c r="F72" s="4"/>
      <c r="G72" s="12"/>
      <c r="H72" s="25"/>
      <c r="I72" s="4"/>
      <c r="J72" s="12"/>
      <c r="K72" s="4"/>
    </row>
    <row r="73" ht="15.75" customHeight="1">
      <c r="A73" s="26"/>
      <c r="B73" s="4"/>
      <c r="C73" s="4"/>
      <c r="D73" s="4"/>
      <c r="E73" s="4"/>
      <c r="F73" s="4"/>
      <c r="G73" s="12"/>
      <c r="H73" s="25"/>
      <c r="I73" s="4"/>
      <c r="J73" s="12"/>
      <c r="K73" s="4"/>
    </row>
    <row r="74" ht="15.75" customHeight="1">
      <c r="A74" s="26"/>
      <c r="B74" s="4"/>
      <c r="C74" s="4"/>
      <c r="D74" s="4"/>
      <c r="E74" s="4"/>
      <c r="F74" s="4"/>
      <c r="G74" s="12"/>
      <c r="H74" s="25"/>
      <c r="I74" s="4"/>
      <c r="J74" s="12"/>
      <c r="K74" s="4"/>
    </row>
    <row r="75" ht="15.75" customHeight="1">
      <c r="A75" s="26"/>
      <c r="B75" s="4"/>
      <c r="C75" s="4"/>
      <c r="D75" s="4"/>
      <c r="E75" s="4"/>
      <c r="F75" s="4"/>
      <c r="G75" s="12"/>
      <c r="H75" s="25"/>
      <c r="I75" s="4"/>
      <c r="J75" s="12"/>
      <c r="K75" s="4"/>
    </row>
    <row r="76" ht="15.75" customHeight="1">
      <c r="A76" s="26"/>
      <c r="B76" s="4"/>
      <c r="C76" s="4"/>
      <c r="D76" s="4"/>
      <c r="E76" s="4"/>
      <c r="F76" s="4"/>
      <c r="G76" s="12"/>
      <c r="H76" s="25"/>
      <c r="I76" s="4"/>
      <c r="J76" s="12"/>
      <c r="K76" s="4"/>
    </row>
    <row r="77" ht="15.75" customHeight="1">
      <c r="A77" s="26"/>
      <c r="B77" s="4"/>
      <c r="C77" s="4"/>
      <c r="D77" s="4"/>
      <c r="E77" s="4"/>
      <c r="F77" s="4"/>
      <c r="G77" s="12"/>
      <c r="H77" s="25"/>
      <c r="I77" s="4"/>
      <c r="J77" s="12"/>
      <c r="K77" s="4"/>
    </row>
    <row r="78" ht="15.75" customHeight="1">
      <c r="A78" s="26"/>
      <c r="B78" s="4"/>
      <c r="C78" s="4"/>
      <c r="D78" s="4"/>
      <c r="E78" s="4"/>
      <c r="F78" s="4"/>
      <c r="G78" s="12"/>
      <c r="H78" s="25"/>
      <c r="I78" s="4"/>
      <c r="J78" s="12"/>
      <c r="K78" s="4"/>
    </row>
    <row r="79" ht="15.75" customHeight="1">
      <c r="A79" s="26"/>
      <c r="B79" s="4"/>
      <c r="C79" s="4"/>
      <c r="D79" s="4"/>
      <c r="E79" s="4"/>
      <c r="F79" s="4"/>
      <c r="G79" s="12"/>
      <c r="H79" s="25"/>
      <c r="I79" s="4"/>
      <c r="J79" s="12"/>
      <c r="K79" s="4"/>
    </row>
    <row r="80" ht="15.75" customHeight="1">
      <c r="A80" s="26"/>
      <c r="B80" s="4"/>
      <c r="C80" s="4"/>
      <c r="D80" s="4"/>
      <c r="E80" s="4"/>
      <c r="F80" s="4"/>
      <c r="G80" s="12"/>
      <c r="H80" s="25"/>
      <c r="I80" s="4"/>
      <c r="J80" s="12"/>
      <c r="K80" s="4"/>
    </row>
    <row r="81" ht="15.75" customHeight="1">
      <c r="A81" s="26"/>
      <c r="B81" s="4"/>
      <c r="C81" s="4"/>
      <c r="D81" s="4"/>
      <c r="E81" s="4"/>
      <c r="F81" s="4"/>
      <c r="G81" s="12"/>
      <c r="H81" s="25"/>
      <c r="I81" s="4"/>
      <c r="J81" s="12"/>
      <c r="K81" s="4"/>
    </row>
    <row r="82" ht="15.75" customHeight="1">
      <c r="A82" s="26"/>
      <c r="B82" s="4"/>
      <c r="C82" s="4"/>
      <c r="D82" s="4"/>
      <c r="E82" s="4"/>
      <c r="F82" s="4"/>
      <c r="G82" s="12"/>
      <c r="H82" s="25"/>
      <c r="I82" s="4"/>
      <c r="J82" s="12"/>
      <c r="K82" s="4"/>
    </row>
    <row r="83" ht="15.75" customHeight="1">
      <c r="A83" s="26"/>
      <c r="B83" s="4"/>
      <c r="C83" s="4"/>
      <c r="D83" s="4"/>
      <c r="E83" s="4"/>
      <c r="F83" s="4"/>
      <c r="G83" s="12"/>
      <c r="H83" s="25"/>
      <c r="I83" s="4"/>
      <c r="J83" s="12"/>
      <c r="K83" s="4"/>
    </row>
    <row r="84" ht="15.75" customHeight="1">
      <c r="A84" s="26"/>
      <c r="B84" s="4"/>
      <c r="C84" s="4"/>
      <c r="D84" s="4"/>
      <c r="E84" s="4"/>
      <c r="F84" s="4"/>
      <c r="G84" s="12"/>
      <c r="H84" s="25"/>
      <c r="I84" s="4"/>
      <c r="J84" s="12"/>
      <c r="K84" s="4"/>
    </row>
    <row r="85" ht="15.75" customHeight="1">
      <c r="A85" s="26"/>
      <c r="B85" s="4"/>
      <c r="C85" s="4"/>
      <c r="D85" s="4"/>
      <c r="E85" s="4"/>
      <c r="F85" s="4"/>
      <c r="G85" s="12"/>
      <c r="H85" s="25"/>
      <c r="I85" s="4"/>
      <c r="J85" s="12"/>
      <c r="K85" s="4"/>
    </row>
    <row r="86" ht="15.75" customHeight="1">
      <c r="A86" s="26"/>
      <c r="B86" s="4"/>
      <c r="C86" s="4"/>
      <c r="D86" s="4"/>
      <c r="E86" s="4"/>
      <c r="F86" s="4"/>
      <c r="G86" s="12"/>
      <c r="H86" s="25"/>
      <c r="I86" s="4"/>
      <c r="J86" s="12"/>
      <c r="K86" s="4"/>
    </row>
    <row r="87" ht="15.75" customHeight="1">
      <c r="A87" s="26"/>
      <c r="B87" s="4"/>
      <c r="C87" s="4"/>
      <c r="D87" s="4"/>
      <c r="E87" s="4"/>
      <c r="F87" s="4"/>
      <c r="G87" s="12"/>
      <c r="H87" s="25"/>
      <c r="I87" s="4"/>
      <c r="J87" s="12"/>
      <c r="K87" s="4"/>
    </row>
    <row r="88" ht="15.75" customHeight="1">
      <c r="A88" s="26"/>
      <c r="B88" s="4"/>
      <c r="C88" s="4"/>
      <c r="D88" s="4"/>
      <c r="E88" s="4"/>
      <c r="F88" s="4"/>
      <c r="G88" s="12"/>
      <c r="H88" s="25"/>
      <c r="I88" s="4"/>
      <c r="J88" s="12"/>
      <c r="K88" s="4"/>
    </row>
    <row r="89" ht="15.75" customHeight="1">
      <c r="A89" s="26"/>
      <c r="B89" s="4"/>
      <c r="C89" s="4"/>
      <c r="D89" s="4"/>
      <c r="E89" s="4"/>
      <c r="F89" s="4"/>
      <c r="G89" s="12"/>
      <c r="H89" s="25"/>
      <c r="I89" s="4"/>
      <c r="J89" s="12"/>
      <c r="K89" s="4"/>
    </row>
    <row r="90" ht="15.75" customHeight="1">
      <c r="A90" s="26"/>
      <c r="B90" s="4"/>
      <c r="C90" s="4"/>
      <c r="D90" s="4"/>
      <c r="E90" s="4"/>
      <c r="F90" s="4"/>
      <c r="G90" s="12"/>
      <c r="H90" s="25"/>
      <c r="I90" s="4"/>
      <c r="J90" s="12"/>
      <c r="K90" s="4"/>
    </row>
    <row r="91" ht="15.75" customHeight="1">
      <c r="A91" s="26"/>
      <c r="B91" s="4"/>
      <c r="C91" s="4"/>
      <c r="D91" s="4"/>
      <c r="E91" s="4"/>
      <c r="F91" s="4"/>
      <c r="G91" s="12"/>
      <c r="H91" s="25"/>
      <c r="I91" s="4"/>
      <c r="J91" s="12"/>
      <c r="K91" s="4"/>
    </row>
    <row r="92" ht="15.75" customHeight="1">
      <c r="A92" s="26"/>
      <c r="B92" s="4"/>
      <c r="C92" s="4"/>
      <c r="D92" s="4"/>
      <c r="E92" s="4"/>
      <c r="F92" s="4"/>
      <c r="G92" s="12"/>
      <c r="H92" s="25"/>
      <c r="I92" s="4"/>
      <c r="J92" s="12"/>
      <c r="K92" s="4"/>
    </row>
    <row r="93" ht="15.75" customHeight="1">
      <c r="A93" s="26"/>
      <c r="B93" s="4"/>
      <c r="C93" s="4"/>
      <c r="D93" s="4"/>
      <c r="E93" s="4"/>
      <c r="F93" s="4"/>
      <c r="G93" s="12"/>
      <c r="H93" s="25"/>
      <c r="I93" s="4"/>
      <c r="J93" s="12"/>
      <c r="K93" s="4"/>
    </row>
    <row r="94" ht="15.75" customHeight="1">
      <c r="A94" s="26"/>
      <c r="B94" s="4"/>
      <c r="C94" s="4"/>
      <c r="D94" s="4"/>
      <c r="E94" s="4"/>
      <c r="F94" s="4"/>
      <c r="G94" s="12"/>
      <c r="H94" s="25"/>
      <c r="I94" s="4"/>
      <c r="J94" s="12"/>
      <c r="K94" s="4"/>
    </row>
    <row r="95" ht="15.75" customHeight="1">
      <c r="A95" s="26"/>
      <c r="B95" s="4"/>
      <c r="C95" s="4"/>
      <c r="D95" s="4"/>
      <c r="E95" s="4"/>
      <c r="F95" s="4"/>
      <c r="G95" s="12"/>
      <c r="H95" s="25"/>
      <c r="I95" s="4"/>
      <c r="J95" s="12"/>
      <c r="K95" s="4"/>
    </row>
    <row r="96" ht="15.75" customHeight="1">
      <c r="A96" s="26"/>
      <c r="B96" s="4"/>
      <c r="C96" s="4"/>
      <c r="D96" s="4"/>
      <c r="E96" s="4"/>
      <c r="F96" s="4"/>
      <c r="G96" s="12"/>
      <c r="H96" s="25"/>
      <c r="I96" s="4"/>
      <c r="J96" s="12"/>
      <c r="K96" s="4"/>
    </row>
    <row r="97" ht="15.75" customHeight="1">
      <c r="A97" s="26"/>
      <c r="B97" s="4"/>
      <c r="C97" s="4"/>
      <c r="D97" s="4"/>
      <c r="E97" s="4"/>
      <c r="F97" s="4"/>
      <c r="G97" s="12"/>
      <c r="H97" s="25"/>
      <c r="I97" s="4"/>
      <c r="J97" s="12"/>
      <c r="K97" s="4"/>
    </row>
    <row r="98" ht="15.75" customHeight="1">
      <c r="A98" s="26"/>
      <c r="B98" s="4"/>
      <c r="C98" s="4"/>
      <c r="D98" s="4"/>
      <c r="E98" s="4"/>
      <c r="F98" s="4"/>
      <c r="G98" s="12"/>
      <c r="H98" s="25"/>
      <c r="I98" s="4"/>
      <c r="J98" s="12"/>
      <c r="K98" s="4"/>
    </row>
    <row r="99" ht="15.75" customHeight="1">
      <c r="A99" s="26"/>
      <c r="B99" s="4"/>
      <c r="C99" s="4"/>
      <c r="D99" s="4"/>
      <c r="E99" s="4"/>
      <c r="F99" s="4"/>
      <c r="G99" s="12"/>
      <c r="H99" s="25"/>
      <c r="I99" s="4"/>
      <c r="J99" s="12"/>
      <c r="K99" s="4"/>
    </row>
    <row r="100" ht="15.75" customHeight="1">
      <c r="A100" s="26"/>
      <c r="B100" s="4"/>
      <c r="C100" s="4"/>
      <c r="D100" s="4"/>
      <c r="E100" s="4"/>
      <c r="F100" s="4"/>
      <c r="G100" s="12"/>
      <c r="H100" s="25"/>
      <c r="I100" s="4"/>
      <c r="J100" s="12"/>
      <c r="K100" s="4"/>
    </row>
    <row r="101" ht="15.75" customHeight="1">
      <c r="A101" s="26"/>
      <c r="B101" s="4"/>
      <c r="C101" s="4"/>
      <c r="D101" s="4"/>
      <c r="E101" s="4"/>
      <c r="F101" s="4"/>
      <c r="G101" s="12"/>
      <c r="H101" s="25"/>
      <c r="I101" s="4"/>
      <c r="J101" s="12"/>
      <c r="K101" s="4"/>
    </row>
    <row r="102" ht="15.75" customHeight="1">
      <c r="A102" s="26"/>
      <c r="B102" s="4"/>
      <c r="C102" s="4"/>
      <c r="D102" s="4"/>
      <c r="E102" s="4"/>
      <c r="F102" s="4"/>
      <c r="G102" s="12"/>
      <c r="H102" s="25"/>
      <c r="I102" s="4"/>
      <c r="J102" s="12"/>
      <c r="K102" s="4"/>
    </row>
    <row r="103" ht="15.75" customHeight="1">
      <c r="A103" s="26"/>
      <c r="B103" s="4"/>
      <c r="C103" s="4"/>
      <c r="D103" s="4"/>
      <c r="E103" s="4"/>
      <c r="F103" s="4"/>
      <c r="G103" s="12"/>
      <c r="H103" s="25"/>
      <c r="I103" s="4"/>
      <c r="J103" s="12"/>
      <c r="K103" s="4"/>
    </row>
    <row r="104" ht="15.75" customHeight="1">
      <c r="A104" s="26"/>
      <c r="B104" s="4"/>
      <c r="C104" s="4"/>
      <c r="D104" s="4"/>
      <c r="E104" s="4"/>
      <c r="F104" s="4"/>
      <c r="G104" s="12"/>
      <c r="H104" s="25"/>
      <c r="I104" s="4"/>
      <c r="J104" s="12"/>
      <c r="K104" s="4"/>
    </row>
    <row r="105" ht="15.75" customHeight="1">
      <c r="A105" s="26"/>
      <c r="B105" s="4"/>
      <c r="C105" s="4"/>
      <c r="D105" s="4"/>
      <c r="E105" s="4"/>
      <c r="F105" s="4"/>
      <c r="G105" s="12"/>
      <c r="H105" s="25"/>
      <c r="I105" s="4"/>
      <c r="J105" s="12"/>
      <c r="K105" s="4"/>
    </row>
    <row r="106" ht="15.75" customHeight="1">
      <c r="A106" s="26"/>
      <c r="B106" s="4"/>
      <c r="C106" s="4"/>
      <c r="D106" s="4"/>
      <c r="E106" s="4"/>
      <c r="F106" s="4"/>
      <c r="G106" s="12"/>
      <c r="H106" s="25"/>
      <c r="I106" s="4"/>
      <c r="J106" s="12"/>
      <c r="K106" s="4"/>
    </row>
    <row r="107" ht="15.75" customHeight="1">
      <c r="A107" s="26"/>
      <c r="B107" s="4"/>
      <c r="C107" s="4"/>
      <c r="D107" s="4"/>
      <c r="E107" s="4"/>
      <c r="F107" s="4"/>
      <c r="G107" s="12"/>
      <c r="H107" s="25"/>
      <c r="I107" s="4"/>
      <c r="J107" s="12"/>
      <c r="K107" s="4"/>
    </row>
    <row r="108" ht="15.75" customHeight="1">
      <c r="A108" s="26"/>
      <c r="B108" s="4"/>
      <c r="C108" s="4"/>
      <c r="D108" s="4"/>
      <c r="E108" s="4"/>
      <c r="F108" s="4"/>
      <c r="G108" s="12"/>
      <c r="H108" s="25"/>
      <c r="I108" s="4"/>
      <c r="J108" s="12"/>
      <c r="K108" s="4"/>
    </row>
    <row r="109" ht="15.75" customHeight="1">
      <c r="A109" s="26"/>
      <c r="B109" s="4"/>
      <c r="C109" s="4"/>
      <c r="D109" s="4"/>
      <c r="E109" s="4"/>
      <c r="F109" s="4"/>
      <c r="G109" s="12"/>
      <c r="H109" s="25"/>
      <c r="I109" s="4"/>
      <c r="J109" s="12"/>
      <c r="K109" s="4"/>
    </row>
    <row r="110" ht="15.75" customHeight="1">
      <c r="A110" s="26"/>
      <c r="B110" s="4"/>
      <c r="C110" s="4"/>
      <c r="D110" s="4"/>
      <c r="E110" s="4"/>
      <c r="F110" s="4"/>
      <c r="G110" s="12"/>
      <c r="H110" s="25"/>
      <c r="I110" s="4"/>
      <c r="J110" s="12"/>
      <c r="K110" s="4"/>
    </row>
    <row r="111" ht="15.75" customHeight="1">
      <c r="A111" s="26"/>
      <c r="B111" s="4"/>
      <c r="C111" s="4"/>
      <c r="D111" s="4"/>
      <c r="E111" s="4"/>
      <c r="F111" s="4"/>
      <c r="G111" s="12"/>
      <c r="H111" s="25"/>
      <c r="I111" s="4"/>
      <c r="J111" s="12"/>
      <c r="K111" s="4"/>
    </row>
    <row r="112" ht="15.75" customHeight="1">
      <c r="A112" s="26"/>
      <c r="B112" s="4"/>
      <c r="C112" s="4"/>
      <c r="D112" s="4"/>
      <c r="E112" s="4"/>
      <c r="F112" s="4"/>
      <c r="G112" s="12"/>
      <c r="H112" s="25"/>
      <c r="I112" s="4"/>
      <c r="J112" s="12"/>
      <c r="K112" s="4"/>
    </row>
    <row r="113" ht="15.75" customHeight="1">
      <c r="A113" s="26"/>
      <c r="B113" s="4"/>
      <c r="C113" s="4"/>
      <c r="D113" s="4"/>
      <c r="E113" s="4"/>
      <c r="F113" s="4"/>
      <c r="G113" s="12"/>
      <c r="H113" s="25"/>
      <c r="I113" s="4"/>
      <c r="J113" s="12"/>
      <c r="K113" s="4"/>
    </row>
    <row r="114" ht="15.75" customHeight="1">
      <c r="A114" s="26"/>
      <c r="B114" s="4"/>
      <c r="C114" s="4"/>
      <c r="D114" s="4"/>
      <c r="E114" s="4"/>
      <c r="F114" s="4"/>
      <c r="G114" s="12"/>
      <c r="H114" s="25"/>
      <c r="I114" s="4"/>
      <c r="J114" s="12"/>
      <c r="K114" s="4"/>
    </row>
    <row r="115" ht="15.75" customHeight="1">
      <c r="A115" s="26"/>
      <c r="B115" s="4"/>
      <c r="C115" s="4"/>
      <c r="D115" s="4"/>
      <c r="E115" s="4"/>
      <c r="F115" s="4"/>
      <c r="G115" s="12"/>
      <c r="H115" s="25"/>
      <c r="I115" s="4"/>
      <c r="J115" s="12"/>
      <c r="K115" s="4"/>
    </row>
    <row r="116" ht="15.75" customHeight="1">
      <c r="A116" s="26"/>
      <c r="B116" s="4"/>
      <c r="C116" s="4"/>
      <c r="D116" s="4"/>
      <c r="E116" s="4"/>
      <c r="F116" s="4"/>
      <c r="G116" s="12"/>
      <c r="H116" s="25"/>
      <c r="I116" s="4"/>
      <c r="J116" s="12"/>
      <c r="K116" s="4"/>
    </row>
    <row r="117" ht="15.75" customHeight="1">
      <c r="A117" s="26"/>
      <c r="B117" s="4"/>
      <c r="C117" s="4"/>
      <c r="D117" s="4"/>
      <c r="E117" s="4"/>
      <c r="F117" s="4"/>
      <c r="G117" s="12"/>
      <c r="H117" s="25"/>
      <c r="I117" s="4"/>
      <c r="J117" s="12"/>
      <c r="K117" s="4"/>
    </row>
    <row r="118" ht="15.75" customHeight="1">
      <c r="A118" s="26"/>
      <c r="B118" s="4"/>
      <c r="C118" s="4"/>
      <c r="D118" s="4"/>
      <c r="E118" s="4"/>
      <c r="F118" s="4"/>
      <c r="G118" s="12"/>
      <c r="H118" s="25"/>
      <c r="I118" s="4"/>
      <c r="J118" s="12"/>
      <c r="K118" s="4"/>
    </row>
    <row r="119" ht="15.75" customHeight="1">
      <c r="A119" s="26"/>
      <c r="B119" s="4"/>
      <c r="C119" s="4"/>
      <c r="D119" s="4"/>
      <c r="E119" s="4"/>
      <c r="F119" s="4"/>
      <c r="G119" s="12"/>
      <c r="H119" s="25"/>
      <c r="I119" s="4"/>
      <c r="J119" s="12"/>
      <c r="K119" s="4"/>
    </row>
    <row r="120" ht="15.75" customHeight="1">
      <c r="A120" s="26"/>
      <c r="B120" s="4"/>
      <c r="C120" s="4"/>
      <c r="D120" s="4"/>
      <c r="E120" s="4"/>
      <c r="F120" s="4"/>
      <c r="G120" s="12"/>
      <c r="H120" s="25"/>
      <c r="I120" s="4"/>
      <c r="J120" s="12"/>
      <c r="K120" s="4"/>
    </row>
    <row r="121" ht="15.75" customHeight="1">
      <c r="A121" s="26"/>
      <c r="B121" s="4"/>
      <c r="C121" s="4"/>
      <c r="D121" s="4"/>
      <c r="E121" s="4"/>
      <c r="F121" s="4"/>
      <c r="G121" s="12"/>
      <c r="H121" s="25"/>
      <c r="I121" s="4"/>
      <c r="J121" s="12"/>
      <c r="K121" s="4"/>
    </row>
    <row r="122" ht="15.75" customHeight="1">
      <c r="A122" s="26"/>
      <c r="B122" s="4"/>
      <c r="C122" s="4"/>
      <c r="D122" s="4"/>
      <c r="E122" s="4"/>
      <c r="F122" s="4"/>
      <c r="G122" s="12"/>
      <c r="H122" s="25"/>
      <c r="I122" s="4"/>
      <c r="J122" s="12"/>
      <c r="K122" s="4"/>
    </row>
    <row r="123" ht="15.75" customHeight="1">
      <c r="A123" s="26"/>
      <c r="B123" s="4"/>
      <c r="C123" s="4"/>
      <c r="D123" s="4"/>
      <c r="E123" s="4"/>
      <c r="F123" s="4"/>
      <c r="G123" s="12"/>
      <c r="H123" s="25"/>
      <c r="I123" s="4"/>
      <c r="J123" s="12"/>
      <c r="K123" s="4"/>
    </row>
    <row r="124" ht="15.75" customHeight="1">
      <c r="A124" s="26"/>
      <c r="B124" s="4"/>
      <c r="C124" s="4"/>
      <c r="D124" s="4"/>
      <c r="E124" s="4"/>
      <c r="F124" s="4"/>
      <c r="G124" s="12"/>
      <c r="H124" s="25"/>
      <c r="I124" s="4"/>
      <c r="J124" s="12"/>
      <c r="K124" s="4"/>
    </row>
    <row r="125" ht="15.75" customHeight="1">
      <c r="A125" s="26"/>
      <c r="B125" s="4"/>
      <c r="C125" s="4"/>
      <c r="D125" s="4"/>
      <c r="E125" s="4"/>
      <c r="F125" s="4"/>
      <c r="G125" s="12"/>
      <c r="H125" s="25"/>
      <c r="I125" s="4"/>
      <c r="J125" s="12"/>
      <c r="K125" s="4"/>
    </row>
    <row r="126" ht="15.75" customHeight="1">
      <c r="A126" s="26"/>
      <c r="B126" s="4"/>
      <c r="C126" s="4"/>
      <c r="D126" s="4"/>
      <c r="E126" s="4"/>
      <c r="F126" s="4"/>
      <c r="G126" s="12"/>
      <c r="H126" s="25"/>
      <c r="I126" s="4"/>
      <c r="J126" s="12"/>
      <c r="K126" s="4"/>
    </row>
    <row r="127" ht="15.75" customHeight="1">
      <c r="A127" s="26"/>
      <c r="B127" s="4"/>
      <c r="C127" s="4"/>
      <c r="D127" s="4"/>
      <c r="E127" s="4"/>
      <c r="F127" s="4"/>
      <c r="G127" s="12"/>
      <c r="H127" s="25"/>
      <c r="I127" s="4"/>
      <c r="J127" s="12"/>
      <c r="K127" s="4"/>
    </row>
    <row r="128" ht="15.75" customHeight="1">
      <c r="A128" s="26"/>
      <c r="B128" s="4"/>
      <c r="C128" s="4"/>
      <c r="D128" s="4"/>
      <c r="E128" s="4"/>
      <c r="F128" s="4"/>
      <c r="G128" s="12"/>
      <c r="H128" s="25"/>
      <c r="I128" s="4"/>
      <c r="J128" s="12"/>
      <c r="K128" s="4"/>
    </row>
    <row r="129" ht="15.75" customHeight="1">
      <c r="A129" s="26"/>
      <c r="B129" s="4"/>
      <c r="C129" s="4"/>
      <c r="D129" s="4"/>
      <c r="E129" s="4"/>
      <c r="F129" s="4"/>
      <c r="G129" s="12"/>
      <c r="H129" s="25"/>
      <c r="I129" s="4"/>
      <c r="J129" s="12"/>
      <c r="K129" s="4"/>
    </row>
    <row r="130" ht="15.75" customHeight="1">
      <c r="A130" s="26"/>
      <c r="B130" s="4"/>
      <c r="C130" s="4"/>
      <c r="D130" s="4"/>
      <c r="E130" s="4"/>
      <c r="F130" s="4"/>
      <c r="G130" s="12"/>
      <c r="H130" s="25"/>
      <c r="I130" s="4"/>
      <c r="J130" s="12"/>
      <c r="K130" s="4"/>
    </row>
    <row r="131" ht="15.75" customHeight="1">
      <c r="A131" s="26"/>
      <c r="B131" s="4"/>
      <c r="C131" s="4"/>
      <c r="D131" s="4"/>
      <c r="E131" s="4"/>
      <c r="F131" s="4"/>
      <c r="G131" s="12"/>
      <c r="H131" s="25"/>
      <c r="I131" s="4"/>
      <c r="J131" s="12"/>
      <c r="K131" s="4"/>
    </row>
    <row r="132" ht="15.75" customHeight="1">
      <c r="A132" s="26"/>
      <c r="B132" s="4"/>
      <c r="C132" s="4"/>
      <c r="D132" s="4"/>
      <c r="E132" s="4"/>
      <c r="F132" s="4"/>
      <c r="G132" s="12"/>
      <c r="H132" s="25"/>
      <c r="I132" s="4"/>
      <c r="J132" s="12"/>
      <c r="K132" s="4"/>
    </row>
    <row r="133" ht="15.75" customHeight="1">
      <c r="A133" s="26"/>
      <c r="B133" s="4"/>
      <c r="C133" s="4"/>
      <c r="D133" s="4"/>
      <c r="E133" s="4"/>
      <c r="F133" s="4"/>
      <c r="G133" s="12"/>
      <c r="H133" s="25"/>
      <c r="I133" s="4"/>
      <c r="J133" s="12"/>
      <c r="K133" s="4"/>
    </row>
    <row r="134" ht="15.75" customHeight="1">
      <c r="A134" s="26"/>
      <c r="B134" s="4"/>
      <c r="C134" s="4"/>
      <c r="D134" s="4"/>
      <c r="E134" s="4"/>
      <c r="F134" s="4"/>
      <c r="G134" s="12"/>
      <c r="H134" s="25"/>
      <c r="I134" s="4"/>
      <c r="J134" s="12"/>
      <c r="K134" s="4"/>
    </row>
    <row r="135" ht="15.75" customHeight="1">
      <c r="A135" s="26"/>
      <c r="B135" s="4"/>
      <c r="C135" s="4"/>
      <c r="D135" s="4"/>
      <c r="E135" s="4"/>
      <c r="F135" s="4"/>
      <c r="G135" s="12"/>
      <c r="H135" s="25"/>
      <c r="I135" s="4"/>
      <c r="J135" s="12"/>
      <c r="K135" s="4"/>
    </row>
    <row r="136" ht="15.75" customHeight="1">
      <c r="A136" s="26"/>
      <c r="B136" s="4"/>
      <c r="C136" s="4"/>
      <c r="D136" s="4"/>
      <c r="E136" s="4"/>
      <c r="F136" s="4"/>
      <c r="G136" s="12"/>
      <c r="H136" s="25"/>
      <c r="I136" s="4"/>
      <c r="J136" s="12"/>
      <c r="K136" s="4"/>
    </row>
    <row r="137" ht="15.75" customHeight="1">
      <c r="A137" s="26"/>
      <c r="B137" s="4"/>
      <c r="C137" s="4"/>
      <c r="D137" s="4"/>
      <c r="E137" s="4"/>
      <c r="F137" s="4"/>
      <c r="G137" s="12"/>
      <c r="H137" s="25"/>
      <c r="I137" s="4"/>
      <c r="J137" s="12"/>
      <c r="K137" s="4"/>
    </row>
    <row r="138" ht="15.75" customHeight="1">
      <c r="A138" s="26"/>
      <c r="B138" s="4"/>
      <c r="C138" s="4"/>
      <c r="D138" s="4"/>
      <c r="E138" s="4"/>
      <c r="F138" s="4"/>
      <c r="G138" s="12"/>
      <c r="H138" s="25"/>
      <c r="I138" s="4"/>
      <c r="J138" s="12"/>
      <c r="K138" s="4"/>
    </row>
    <row r="139" ht="15.75" customHeight="1">
      <c r="A139" s="26"/>
      <c r="B139" s="4"/>
      <c r="C139" s="4"/>
      <c r="D139" s="4"/>
      <c r="E139" s="4"/>
      <c r="F139" s="4"/>
      <c r="G139" s="12"/>
      <c r="H139" s="25"/>
      <c r="I139" s="4"/>
      <c r="J139" s="12"/>
      <c r="K139" s="4"/>
    </row>
    <row r="140" ht="15.75" customHeight="1">
      <c r="A140" s="26"/>
      <c r="B140" s="4"/>
      <c r="C140" s="4"/>
      <c r="D140" s="4"/>
      <c r="E140" s="4"/>
      <c r="F140" s="4"/>
      <c r="G140" s="12"/>
      <c r="H140" s="25"/>
      <c r="I140" s="4"/>
      <c r="J140" s="12"/>
      <c r="K140" s="4"/>
    </row>
    <row r="141" ht="15.75" customHeight="1">
      <c r="A141" s="26"/>
      <c r="B141" s="4"/>
      <c r="C141" s="4"/>
      <c r="D141" s="4"/>
      <c r="E141" s="4"/>
      <c r="F141" s="4"/>
      <c r="G141" s="12"/>
      <c r="H141" s="25"/>
      <c r="I141" s="4"/>
      <c r="J141" s="12"/>
      <c r="K141" s="4"/>
    </row>
    <row r="142" ht="15.75" customHeight="1">
      <c r="A142" s="26"/>
      <c r="B142" s="4"/>
      <c r="C142" s="4"/>
      <c r="D142" s="4"/>
      <c r="E142" s="4"/>
      <c r="F142" s="4"/>
      <c r="G142" s="12"/>
      <c r="H142" s="25"/>
      <c r="I142" s="4"/>
      <c r="J142" s="12"/>
      <c r="K142" s="4"/>
    </row>
    <row r="143" ht="15.75" customHeight="1">
      <c r="A143" s="26"/>
      <c r="B143" s="4"/>
      <c r="C143" s="4"/>
      <c r="D143" s="4"/>
      <c r="E143" s="4"/>
      <c r="F143" s="4"/>
      <c r="G143" s="12"/>
      <c r="H143" s="25"/>
      <c r="I143" s="4"/>
      <c r="J143" s="12"/>
      <c r="K143" s="4"/>
    </row>
    <row r="144" ht="15.75" customHeight="1">
      <c r="A144" s="26"/>
      <c r="B144" s="4"/>
      <c r="C144" s="4"/>
      <c r="D144" s="4"/>
      <c r="E144" s="4"/>
      <c r="F144" s="4"/>
      <c r="G144" s="12"/>
      <c r="H144" s="25"/>
      <c r="I144" s="4"/>
      <c r="J144" s="12"/>
      <c r="K144" s="4"/>
    </row>
    <row r="145" ht="15.75" customHeight="1">
      <c r="A145" s="26"/>
      <c r="B145" s="4"/>
      <c r="C145" s="4"/>
      <c r="D145" s="4"/>
      <c r="E145" s="4"/>
      <c r="F145" s="4"/>
      <c r="G145" s="12"/>
      <c r="H145" s="25"/>
      <c r="I145" s="4"/>
      <c r="J145" s="12"/>
      <c r="K145" s="4"/>
    </row>
    <row r="146" ht="15.75" customHeight="1">
      <c r="A146" s="26"/>
      <c r="B146" s="4"/>
      <c r="C146" s="4"/>
      <c r="D146" s="4"/>
      <c r="E146" s="4"/>
      <c r="F146" s="4"/>
      <c r="G146" s="12"/>
      <c r="H146" s="25"/>
      <c r="I146" s="4"/>
      <c r="J146" s="12"/>
      <c r="K146" s="4"/>
    </row>
    <row r="147" ht="15.75" customHeight="1">
      <c r="A147" s="26"/>
      <c r="B147" s="4"/>
      <c r="C147" s="4"/>
      <c r="D147" s="4"/>
      <c r="E147" s="4"/>
      <c r="F147" s="4"/>
      <c r="G147" s="12"/>
      <c r="H147" s="25"/>
      <c r="I147" s="4"/>
      <c r="J147" s="12"/>
      <c r="K147" s="4"/>
    </row>
    <row r="148" ht="15.75" customHeight="1">
      <c r="A148" s="26"/>
      <c r="B148" s="4"/>
      <c r="C148" s="4"/>
      <c r="D148" s="4"/>
      <c r="E148" s="4"/>
      <c r="F148" s="4"/>
      <c r="G148" s="12"/>
      <c r="H148" s="25"/>
      <c r="I148" s="4"/>
      <c r="J148" s="12"/>
      <c r="K148" s="4"/>
    </row>
    <row r="149" ht="15.75" customHeight="1">
      <c r="A149" s="26"/>
      <c r="B149" s="4"/>
      <c r="C149" s="4"/>
      <c r="D149" s="4"/>
      <c r="E149" s="4"/>
      <c r="F149" s="4"/>
      <c r="G149" s="12"/>
      <c r="H149" s="25"/>
      <c r="I149" s="4"/>
      <c r="J149" s="12"/>
      <c r="K149" s="4"/>
    </row>
    <row r="150" ht="15.75" customHeight="1">
      <c r="A150" s="26"/>
      <c r="B150" s="4"/>
      <c r="C150" s="4"/>
      <c r="D150" s="4"/>
      <c r="E150" s="4"/>
      <c r="F150" s="4"/>
      <c r="G150" s="12"/>
      <c r="H150" s="25"/>
      <c r="I150" s="4"/>
      <c r="J150" s="12"/>
      <c r="K150" s="4"/>
    </row>
    <row r="151" ht="15.75" customHeight="1">
      <c r="A151" s="26"/>
      <c r="B151" s="4"/>
      <c r="C151" s="4"/>
      <c r="D151" s="4"/>
      <c r="E151" s="4"/>
      <c r="F151" s="4"/>
      <c r="G151" s="12"/>
      <c r="H151" s="25"/>
      <c r="I151" s="4"/>
      <c r="J151" s="12"/>
      <c r="K151" s="4"/>
    </row>
    <row r="152" ht="15.75" customHeight="1">
      <c r="A152" s="26"/>
      <c r="B152" s="4"/>
      <c r="C152" s="4"/>
      <c r="D152" s="4"/>
      <c r="E152" s="4"/>
      <c r="F152" s="4"/>
      <c r="G152" s="12"/>
      <c r="H152" s="25"/>
      <c r="I152" s="4"/>
      <c r="J152" s="12"/>
      <c r="K152" s="4"/>
    </row>
    <row r="153" ht="15.75" customHeight="1">
      <c r="A153" s="26"/>
      <c r="B153" s="4"/>
      <c r="C153" s="4"/>
      <c r="D153" s="4"/>
      <c r="E153" s="4"/>
      <c r="F153" s="4"/>
      <c r="G153" s="12"/>
      <c r="H153" s="25"/>
      <c r="I153" s="4"/>
      <c r="J153" s="12"/>
      <c r="K153" s="4"/>
    </row>
    <row r="154" ht="15.75" customHeight="1">
      <c r="A154" s="26"/>
      <c r="B154" s="4"/>
      <c r="C154" s="4"/>
      <c r="D154" s="4"/>
      <c r="E154" s="4"/>
      <c r="F154" s="4"/>
      <c r="G154" s="12"/>
      <c r="H154" s="25"/>
      <c r="I154" s="4"/>
      <c r="J154" s="12"/>
      <c r="K154" s="4"/>
    </row>
    <row r="155" ht="15.75" customHeight="1">
      <c r="A155" s="26"/>
      <c r="B155" s="4"/>
      <c r="C155" s="4"/>
      <c r="D155" s="4"/>
      <c r="E155" s="4"/>
      <c r="F155" s="4"/>
      <c r="G155" s="12"/>
      <c r="H155" s="25"/>
      <c r="I155" s="4"/>
      <c r="J155" s="12"/>
      <c r="K155" s="4"/>
    </row>
    <row r="156" ht="15.75" customHeight="1">
      <c r="A156" s="26"/>
      <c r="B156" s="4"/>
      <c r="C156" s="4"/>
      <c r="D156" s="4"/>
      <c r="E156" s="4"/>
      <c r="F156" s="4"/>
      <c r="G156" s="12"/>
      <c r="H156" s="25"/>
      <c r="I156" s="4"/>
      <c r="J156" s="12"/>
      <c r="K156" s="4"/>
    </row>
    <row r="157" ht="15.75" customHeight="1">
      <c r="A157" s="26"/>
      <c r="B157" s="4"/>
      <c r="C157" s="4"/>
      <c r="D157" s="4"/>
      <c r="E157" s="4"/>
      <c r="F157" s="4"/>
      <c r="G157" s="12"/>
      <c r="H157" s="25"/>
      <c r="I157" s="4"/>
      <c r="J157" s="12"/>
      <c r="K157" s="4"/>
    </row>
    <row r="158" ht="15.75" customHeight="1">
      <c r="A158" s="26"/>
      <c r="B158" s="4"/>
      <c r="C158" s="4"/>
      <c r="D158" s="4"/>
      <c r="E158" s="4"/>
      <c r="F158" s="4"/>
      <c r="G158" s="12"/>
      <c r="H158" s="25"/>
      <c r="I158" s="4"/>
      <c r="J158" s="12"/>
      <c r="K158" s="4"/>
    </row>
    <row r="159" ht="15.75" customHeight="1">
      <c r="A159" s="26"/>
      <c r="B159" s="4"/>
      <c r="C159" s="4"/>
      <c r="D159" s="4"/>
      <c r="E159" s="4"/>
      <c r="F159" s="4"/>
      <c r="G159" s="12"/>
      <c r="H159" s="25"/>
      <c r="I159" s="4"/>
      <c r="J159" s="12"/>
      <c r="K159" s="4"/>
    </row>
    <row r="160" ht="15.75" customHeight="1">
      <c r="A160" s="26"/>
      <c r="B160" s="4"/>
      <c r="C160" s="4"/>
      <c r="D160" s="4"/>
      <c r="E160" s="4"/>
      <c r="F160" s="4"/>
      <c r="G160" s="12"/>
      <c r="H160" s="25"/>
      <c r="I160" s="4"/>
      <c r="J160" s="12"/>
      <c r="K160" s="4"/>
    </row>
    <row r="161" ht="15.75" customHeight="1">
      <c r="A161" s="26"/>
      <c r="B161" s="4"/>
      <c r="C161" s="4"/>
      <c r="D161" s="4"/>
      <c r="E161" s="4"/>
      <c r="F161" s="4"/>
      <c r="G161" s="12"/>
      <c r="H161" s="25"/>
      <c r="I161" s="4"/>
      <c r="J161" s="12"/>
      <c r="K161" s="4"/>
    </row>
    <row r="162" ht="15.75" customHeight="1">
      <c r="A162" s="26"/>
      <c r="B162" s="4"/>
      <c r="C162" s="4"/>
      <c r="D162" s="4"/>
      <c r="E162" s="4"/>
      <c r="F162" s="4"/>
      <c r="G162" s="12"/>
      <c r="H162" s="25"/>
      <c r="I162" s="4"/>
      <c r="J162" s="12"/>
      <c r="K162" s="4"/>
    </row>
    <row r="163" ht="15.75" customHeight="1">
      <c r="A163" s="26"/>
      <c r="B163" s="4"/>
      <c r="C163" s="4"/>
      <c r="D163" s="4"/>
      <c r="E163" s="4"/>
      <c r="F163" s="4"/>
      <c r="G163" s="12"/>
      <c r="H163" s="25"/>
      <c r="I163" s="4"/>
      <c r="J163" s="12"/>
      <c r="K163" s="4"/>
    </row>
    <row r="164" ht="15.75" customHeight="1">
      <c r="A164" s="26"/>
      <c r="B164" s="4"/>
      <c r="C164" s="4"/>
      <c r="D164" s="4"/>
      <c r="E164" s="4"/>
      <c r="F164" s="4"/>
      <c r="G164" s="12"/>
      <c r="H164" s="25"/>
      <c r="I164" s="4"/>
      <c r="J164" s="12"/>
      <c r="K164" s="4"/>
    </row>
    <row r="165" ht="15.75" customHeight="1">
      <c r="A165" s="26"/>
      <c r="B165" s="4"/>
      <c r="C165" s="4"/>
      <c r="D165" s="4"/>
      <c r="E165" s="4"/>
      <c r="F165" s="4"/>
      <c r="G165" s="12"/>
      <c r="H165" s="25"/>
      <c r="I165" s="4"/>
      <c r="J165" s="12"/>
      <c r="K165" s="4"/>
    </row>
    <row r="166" ht="15.75" customHeight="1">
      <c r="A166" s="26"/>
      <c r="B166" s="4"/>
      <c r="C166" s="4"/>
      <c r="D166" s="4"/>
      <c r="E166" s="4"/>
      <c r="F166" s="4"/>
      <c r="G166" s="12"/>
      <c r="H166" s="25"/>
      <c r="I166" s="4"/>
      <c r="J166" s="12"/>
      <c r="K166" s="4"/>
    </row>
    <row r="167" ht="15.75" customHeight="1">
      <c r="A167" s="26"/>
      <c r="B167" s="4"/>
      <c r="C167" s="4"/>
      <c r="D167" s="4"/>
      <c r="E167" s="4"/>
      <c r="F167" s="4"/>
      <c r="G167" s="12"/>
      <c r="H167" s="25"/>
      <c r="I167" s="4"/>
      <c r="J167" s="12"/>
      <c r="K167" s="4"/>
    </row>
    <row r="168" ht="15.75" customHeight="1">
      <c r="A168" s="26"/>
      <c r="B168" s="4"/>
      <c r="C168" s="4"/>
      <c r="D168" s="4"/>
      <c r="E168" s="4"/>
      <c r="F168" s="4"/>
      <c r="G168" s="12"/>
      <c r="H168" s="25"/>
      <c r="I168" s="4"/>
      <c r="J168" s="12"/>
      <c r="K168" s="4"/>
    </row>
    <row r="169" ht="15.75" customHeight="1">
      <c r="A169" s="26"/>
      <c r="B169" s="4"/>
      <c r="C169" s="4"/>
      <c r="D169" s="4"/>
      <c r="E169" s="4"/>
      <c r="F169" s="4"/>
      <c r="G169" s="12"/>
      <c r="H169" s="25"/>
      <c r="I169" s="4"/>
      <c r="J169" s="12"/>
      <c r="K169" s="4"/>
    </row>
    <row r="170" ht="15.75" customHeight="1">
      <c r="A170" s="26"/>
      <c r="B170" s="4"/>
      <c r="C170" s="4"/>
      <c r="D170" s="4"/>
      <c r="E170" s="4"/>
      <c r="F170" s="4"/>
      <c r="G170" s="12"/>
      <c r="H170" s="25"/>
      <c r="I170" s="4"/>
      <c r="J170" s="12"/>
      <c r="K170" s="4"/>
    </row>
    <row r="171" ht="15.75" customHeight="1">
      <c r="A171" s="26"/>
      <c r="B171" s="4"/>
      <c r="C171" s="4"/>
      <c r="D171" s="4"/>
      <c r="E171" s="4"/>
      <c r="F171" s="4"/>
      <c r="G171" s="12"/>
      <c r="H171" s="25"/>
      <c r="I171" s="4"/>
      <c r="J171" s="12"/>
      <c r="K171" s="4"/>
    </row>
    <row r="172" ht="15.75" customHeight="1">
      <c r="A172" s="26"/>
      <c r="B172" s="4"/>
      <c r="C172" s="4"/>
      <c r="D172" s="4"/>
      <c r="E172" s="4"/>
      <c r="F172" s="4"/>
      <c r="G172" s="12"/>
      <c r="H172" s="25"/>
      <c r="I172" s="4"/>
      <c r="J172" s="12"/>
      <c r="K172" s="4"/>
    </row>
    <row r="173" ht="15.75" customHeight="1">
      <c r="A173" s="26"/>
      <c r="B173" s="4"/>
      <c r="C173" s="4"/>
      <c r="D173" s="4"/>
      <c r="E173" s="4"/>
      <c r="F173" s="4"/>
      <c r="G173" s="12"/>
      <c r="H173" s="25"/>
      <c r="I173" s="4"/>
      <c r="J173" s="12"/>
      <c r="K173" s="4"/>
    </row>
    <row r="174" ht="15.75" customHeight="1">
      <c r="A174" s="26"/>
      <c r="B174" s="4"/>
      <c r="C174" s="4"/>
      <c r="D174" s="4"/>
      <c r="E174" s="4"/>
      <c r="F174" s="4"/>
      <c r="G174" s="12"/>
      <c r="H174" s="25"/>
      <c r="I174" s="4"/>
      <c r="J174" s="12"/>
      <c r="K174" s="4"/>
    </row>
    <row r="175" ht="15.75" customHeight="1">
      <c r="A175" s="26"/>
      <c r="B175" s="4"/>
      <c r="C175" s="4"/>
      <c r="D175" s="4"/>
      <c r="E175" s="4"/>
      <c r="F175" s="4"/>
      <c r="G175" s="12"/>
      <c r="H175" s="25"/>
      <c r="I175" s="4"/>
      <c r="J175" s="12"/>
      <c r="K175" s="4"/>
    </row>
    <row r="176" ht="15.75" customHeight="1">
      <c r="A176" s="26"/>
      <c r="B176" s="4"/>
      <c r="C176" s="4"/>
      <c r="D176" s="4"/>
      <c r="E176" s="4"/>
      <c r="F176" s="4"/>
      <c r="G176" s="12"/>
      <c r="H176" s="25"/>
      <c r="I176" s="4"/>
      <c r="J176" s="12"/>
      <c r="K176" s="4"/>
    </row>
    <row r="177" ht="15.75" customHeight="1">
      <c r="A177" s="26"/>
      <c r="B177" s="4"/>
      <c r="C177" s="4"/>
      <c r="D177" s="4"/>
      <c r="E177" s="4"/>
      <c r="F177" s="4"/>
      <c r="G177" s="12"/>
      <c r="H177" s="25"/>
      <c r="I177" s="4"/>
      <c r="J177" s="12"/>
      <c r="K177" s="4"/>
    </row>
    <row r="178" ht="15.75" customHeight="1">
      <c r="A178" s="26"/>
      <c r="B178" s="4"/>
      <c r="C178" s="4"/>
      <c r="D178" s="4"/>
      <c r="E178" s="4"/>
      <c r="F178" s="4"/>
      <c r="G178" s="12"/>
      <c r="H178" s="25"/>
      <c r="I178" s="4"/>
      <c r="J178" s="12"/>
      <c r="K178" s="4"/>
    </row>
    <row r="179" ht="15.75" customHeight="1">
      <c r="A179" s="26"/>
      <c r="B179" s="4"/>
      <c r="C179" s="4"/>
      <c r="D179" s="4"/>
      <c r="E179" s="4"/>
      <c r="F179" s="4"/>
      <c r="G179" s="12"/>
      <c r="H179" s="25"/>
      <c r="I179" s="4"/>
      <c r="J179" s="12"/>
      <c r="K179" s="4"/>
    </row>
    <row r="180" ht="15.75" customHeight="1">
      <c r="A180" s="26"/>
      <c r="B180" s="4"/>
      <c r="C180" s="4"/>
      <c r="D180" s="4"/>
      <c r="E180" s="4"/>
      <c r="F180" s="4"/>
      <c r="G180" s="12"/>
      <c r="H180" s="25"/>
      <c r="I180" s="4"/>
      <c r="J180" s="12"/>
      <c r="K180" s="4"/>
    </row>
    <row r="181" ht="15.75" customHeight="1">
      <c r="A181" s="26"/>
      <c r="B181" s="4"/>
      <c r="C181" s="4"/>
      <c r="D181" s="4"/>
      <c r="E181" s="4"/>
      <c r="F181" s="4"/>
      <c r="G181" s="12"/>
      <c r="H181" s="25"/>
      <c r="I181" s="4"/>
      <c r="J181" s="12"/>
      <c r="K181" s="4"/>
    </row>
    <row r="182" ht="15.75" customHeight="1">
      <c r="A182" s="26"/>
      <c r="B182" s="4"/>
      <c r="C182" s="4"/>
      <c r="D182" s="4"/>
      <c r="E182" s="4"/>
      <c r="F182" s="4"/>
      <c r="G182" s="12"/>
      <c r="H182" s="25"/>
      <c r="I182" s="4"/>
      <c r="J182" s="12"/>
      <c r="K182" s="4"/>
    </row>
    <row r="183" ht="15.75" customHeight="1">
      <c r="A183" s="26"/>
      <c r="B183" s="4"/>
      <c r="C183" s="4"/>
      <c r="D183" s="4"/>
      <c r="E183" s="4"/>
      <c r="F183" s="4"/>
      <c r="G183" s="12"/>
      <c r="H183" s="25"/>
      <c r="I183" s="4"/>
      <c r="J183" s="12"/>
      <c r="K183" s="4"/>
    </row>
    <row r="184" ht="15.75" customHeight="1">
      <c r="A184" s="26"/>
      <c r="B184" s="4"/>
      <c r="C184" s="4"/>
      <c r="D184" s="4"/>
      <c r="E184" s="4"/>
      <c r="F184" s="4"/>
      <c r="G184" s="12"/>
      <c r="H184" s="25"/>
      <c r="I184" s="4"/>
      <c r="J184" s="12"/>
      <c r="K184" s="4"/>
    </row>
    <row r="185" ht="15.75" customHeight="1">
      <c r="A185" s="26"/>
      <c r="B185" s="4"/>
      <c r="C185" s="4"/>
      <c r="D185" s="4"/>
      <c r="E185" s="4"/>
      <c r="F185" s="4"/>
      <c r="G185" s="12"/>
      <c r="H185" s="25"/>
      <c r="I185" s="4"/>
      <c r="J185" s="12"/>
      <c r="K185" s="4"/>
    </row>
    <row r="186" ht="15.75" customHeight="1">
      <c r="A186" s="26"/>
      <c r="B186" s="4"/>
      <c r="C186" s="4"/>
      <c r="D186" s="4"/>
      <c r="E186" s="4"/>
      <c r="F186" s="4"/>
      <c r="G186" s="12"/>
      <c r="H186" s="25"/>
      <c r="I186" s="4"/>
      <c r="J186" s="12"/>
      <c r="K186" s="4"/>
    </row>
    <row r="187" ht="15.75" customHeight="1">
      <c r="A187" s="26"/>
      <c r="B187" s="4"/>
      <c r="C187" s="4"/>
      <c r="D187" s="4"/>
      <c r="E187" s="4"/>
      <c r="F187" s="4"/>
      <c r="G187" s="12"/>
      <c r="H187" s="25"/>
      <c r="I187" s="4"/>
      <c r="J187" s="12"/>
      <c r="K187" s="4"/>
    </row>
    <row r="188" ht="15.75" customHeight="1">
      <c r="A188" s="26"/>
      <c r="B188" s="4"/>
      <c r="C188" s="4"/>
      <c r="D188" s="4"/>
      <c r="E188" s="4"/>
      <c r="F188" s="4"/>
      <c r="G188" s="12"/>
      <c r="H188" s="25"/>
      <c r="I188" s="4"/>
      <c r="J188" s="12"/>
      <c r="K188" s="4"/>
    </row>
    <row r="189" ht="15.75" customHeight="1">
      <c r="A189" s="26"/>
      <c r="B189" s="4"/>
      <c r="C189" s="4"/>
      <c r="D189" s="4"/>
      <c r="E189" s="4"/>
      <c r="F189" s="4"/>
      <c r="G189" s="12"/>
      <c r="H189" s="25"/>
      <c r="I189" s="4"/>
      <c r="J189" s="12"/>
      <c r="K189" s="4"/>
    </row>
    <row r="190" ht="15.75" customHeight="1">
      <c r="A190" s="26"/>
      <c r="B190" s="4"/>
      <c r="C190" s="4"/>
      <c r="D190" s="4"/>
      <c r="E190" s="4"/>
      <c r="F190" s="4"/>
      <c r="G190" s="12"/>
      <c r="H190" s="25"/>
      <c r="I190" s="4"/>
      <c r="J190" s="12"/>
      <c r="K190" s="4"/>
    </row>
    <row r="191" ht="15.75" customHeight="1">
      <c r="A191" s="26"/>
      <c r="B191" s="4"/>
      <c r="C191" s="4"/>
      <c r="D191" s="4"/>
      <c r="E191" s="4"/>
      <c r="F191" s="4"/>
      <c r="G191" s="12"/>
      <c r="H191" s="25"/>
      <c r="I191" s="4"/>
      <c r="J191" s="12"/>
      <c r="K191" s="4"/>
    </row>
    <row r="192" ht="15.75" customHeight="1">
      <c r="A192" s="26"/>
      <c r="B192" s="4"/>
      <c r="C192" s="4"/>
      <c r="D192" s="4"/>
      <c r="E192" s="4"/>
      <c r="F192" s="4"/>
      <c r="G192" s="12"/>
      <c r="H192" s="25"/>
      <c r="I192" s="4"/>
      <c r="J192" s="12"/>
      <c r="K192" s="4"/>
    </row>
    <row r="193" ht="15.75" customHeight="1">
      <c r="A193" s="26"/>
      <c r="B193" s="4"/>
      <c r="C193" s="4"/>
      <c r="D193" s="4"/>
      <c r="E193" s="4"/>
      <c r="F193" s="4"/>
      <c r="G193" s="12"/>
      <c r="H193" s="25"/>
      <c r="I193" s="4"/>
      <c r="J193" s="12"/>
      <c r="K193" s="4"/>
    </row>
    <row r="194" ht="15.75" customHeight="1">
      <c r="A194" s="26"/>
      <c r="B194" s="4"/>
      <c r="C194" s="4"/>
      <c r="D194" s="4"/>
      <c r="E194" s="4"/>
      <c r="F194" s="4"/>
      <c r="G194" s="12"/>
      <c r="H194" s="25"/>
      <c r="I194" s="4"/>
      <c r="J194" s="12"/>
      <c r="K194" s="4"/>
    </row>
    <row r="195" ht="15.75" customHeight="1">
      <c r="A195" s="26"/>
      <c r="B195" s="4"/>
      <c r="C195" s="4"/>
      <c r="D195" s="4"/>
      <c r="E195" s="4"/>
      <c r="F195" s="4"/>
      <c r="G195" s="12"/>
      <c r="H195" s="25"/>
      <c r="I195" s="4"/>
      <c r="J195" s="12"/>
      <c r="K195" s="4"/>
    </row>
    <row r="196" ht="15.75" customHeight="1">
      <c r="A196" s="26"/>
      <c r="B196" s="4"/>
      <c r="C196" s="4"/>
      <c r="D196" s="4"/>
      <c r="E196" s="4"/>
      <c r="F196" s="4"/>
      <c r="G196" s="12"/>
      <c r="H196" s="25"/>
      <c r="I196" s="4"/>
      <c r="J196" s="12"/>
      <c r="K196" s="4"/>
    </row>
    <row r="197" ht="15.75" customHeight="1">
      <c r="A197" s="26"/>
      <c r="B197" s="4"/>
      <c r="C197" s="4"/>
      <c r="D197" s="4"/>
      <c r="E197" s="4"/>
      <c r="F197" s="4"/>
      <c r="G197" s="12"/>
      <c r="H197" s="25"/>
      <c r="I197" s="4"/>
      <c r="J197" s="12"/>
      <c r="K197" s="4"/>
    </row>
    <row r="198" ht="15.75" customHeight="1">
      <c r="A198" s="26"/>
      <c r="B198" s="4"/>
      <c r="C198" s="4"/>
      <c r="D198" s="4"/>
      <c r="E198" s="4"/>
      <c r="F198" s="4"/>
      <c r="G198" s="12"/>
      <c r="H198" s="25"/>
      <c r="I198" s="4"/>
      <c r="J198" s="12"/>
      <c r="K198" s="4"/>
    </row>
    <row r="199" ht="15.75" customHeight="1">
      <c r="A199" s="26"/>
      <c r="B199" s="4"/>
      <c r="C199" s="4"/>
      <c r="D199" s="4"/>
      <c r="E199" s="4"/>
      <c r="F199" s="4"/>
      <c r="G199" s="12"/>
      <c r="H199" s="25"/>
      <c r="I199" s="4"/>
      <c r="J199" s="12"/>
      <c r="K199" s="4"/>
    </row>
    <row r="200" ht="15.75" customHeight="1">
      <c r="A200" s="26"/>
      <c r="B200" s="4"/>
      <c r="C200" s="4"/>
      <c r="D200" s="4"/>
      <c r="E200" s="4"/>
      <c r="F200" s="4"/>
      <c r="G200" s="12"/>
      <c r="H200" s="25"/>
      <c r="I200" s="4"/>
      <c r="J200" s="12"/>
      <c r="K200" s="4"/>
    </row>
    <row r="201" ht="15.75" customHeight="1">
      <c r="A201" s="26"/>
      <c r="B201" s="4"/>
      <c r="C201" s="4"/>
      <c r="D201" s="4"/>
      <c r="E201" s="4"/>
      <c r="F201" s="4"/>
      <c r="G201" s="12"/>
      <c r="H201" s="25"/>
      <c r="I201" s="4"/>
      <c r="J201" s="12"/>
      <c r="K201" s="4"/>
    </row>
    <row r="202" ht="15.75" customHeight="1">
      <c r="A202" s="26"/>
      <c r="B202" s="4"/>
      <c r="C202" s="4"/>
      <c r="D202" s="4"/>
      <c r="E202" s="4"/>
      <c r="F202" s="4"/>
      <c r="G202" s="12"/>
      <c r="H202" s="25"/>
      <c r="I202" s="4"/>
      <c r="J202" s="12"/>
      <c r="K202" s="4"/>
    </row>
    <row r="203" ht="15.75" customHeight="1">
      <c r="A203" s="26"/>
      <c r="B203" s="4"/>
      <c r="C203" s="4"/>
      <c r="D203" s="4"/>
      <c r="E203" s="4"/>
      <c r="F203" s="4"/>
      <c r="G203" s="12"/>
      <c r="H203" s="25"/>
      <c r="I203" s="4"/>
      <c r="J203" s="12"/>
      <c r="K203" s="4"/>
    </row>
    <row r="204" ht="15.75" customHeight="1">
      <c r="A204" s="26"/>
      <c r="B204" s="4"/>
      <c r="C204" s="4"/>
      <c r="D204" s="4"/>
      <c r="E204" s="4"/>
      <c r="F204" s="4"/>
      <c r="G204" s="12"/>
      <c r="H204" s="25"/>
      <c r="I204" s="4"/>
      <c r="J204" s="12"/>
      <c r="K204" s="4"/>
    </row>
    <row r="205" ht="15.75" customHeight="1">
      <c r="A205" s="26"/>
      <c r="B205" s="4"/>
      <c r="C205" s="4"/>
      <c r="D205" s="4"/>
      <c r="E205" s="4"/>
      <c r="F205" s="4"/>
      <c r="G205" s="12"/>
      <c r="H205" s="25"/>
      <c r="I205" s="4"/>
      <c r="J205" s="12"/>
      <c r="K205" s="4"/>
    </row>
    <row r="206" ht="15.75" customHeight="1">
      <c r="A206" s="26"/>
      <c r="B206" s="4"/>
      <c r="C206" s="4"/>
      <c r="D206" s="4"/>
      <c r="E206" s="4"/>
      <c r="F206" s="4"/>
      <c r="G206" s="12"/>
      <c r="H206" s="25"/>
      <c r="I206" s="4"/>
      <c r="J206" s="12"/>
      <c r="K206" s="4"/>
    </row>
    <row r="207" ht="15.75" customHeight="1">
      <c r="A207" s="26"/>
      <c r="B207" s="4"/>
      <c r="C207" s="4"/>
      <c r="D207" s="4"/>
      <c r="E207" s="4"/>
      <c r="F207" s="4"/>
      <c r="G207" s="12"/>
      <c r="H207" s="25"/>
      <c r="I207" s="4"/>
      <c r="J207" s="12"/>
      <c r="K207" s="4"/>
    </row>
    <row r="208" ht="15.75" customHeight="1">
      <c r="A208" s="26"/>
      <c r="B208" s="4"/>
      <c r="C208" s="4"/>
      <c r="D208" s="4"/>
      <c r="E208" s="4"/>
      <c r="F208" s="4"/>
      <c r="G208" s="12"/>
      <c r="H208" s="25"/>
      <c r="I208" s="4"/>
      <c r="J208" s="12"/>
      <c r="K208" s="4"/>
    </row>
    <row r="209" ht="15.75" customHeight="1">
      <c r="A209" s="26"/>
      <c r="B209" s="4"/>
      <c r="C209" s="4"/>
      <c r="D209" s="4"/>
      <c r="E209" s="4"/>
      <c r="F209" s="4"/>
      <c r="G209" s="12"/>
      <c r="H209" s="25"/>
      <c r="I209" s="4"/>
      <c r="J209" s="12"/>
      <c r="K209" s="4"/>
    </row>
    <row r="210" ht="15.75" customHeight="1">
      <c r="A210" s="26"/>
      <c r="B210" s="4"/>
      <c r="C210" s="4"/>
      <c r="D210" s="4"/>
      <c r="E210" s="4"/>
      <c r="F210" s="4"/>
      <c r="G210" s="12"/>
      <c r="H210" s="25"/>
      <c r="I210" s="4"/>
      <c r="J210" s="12"/>
      <c r="K210" s="4"/>
    </row>
    <row r="211" ht="15.75" customHeight="1">
      <c r="A211" s="26"/>
      <c r="B211" s="4"/>
      <c r="C211" s="4"/>
      <c r="D211" s="4"/>
      <c r="E211" s="4"/>
      <c r="F211" s="4"/>
      <c r="G211" s="12"/>
      <c r="H211" s="25"/>
      <c r="I211" s="4"/>
      <c r="J211" s="12"/>
      <c r="K211" s="4"/>
    </row>
    <row r="212" ht="15.75" customHeight="1">
      <c r="A212" s="26"/>
      <c r="B212" s="4"/>
      <c r="C212" s="4"/>
      <c r="D212" s="4"/>
      <c r="E212" s="4"/>
      <c r="F212" s="4"/>
      <c r="G212" s="12"/>
      <c r="H212" s="25"/>
      <c r="I212" s="4"/>
      <c r="J212" s="12"/>
      <c r="K212" s="4"/>
    </row>
    <row r="213" ht="15.75" customHeight="1">
      <c r="A213" s="26"/>
      <c r="B213" s="4"/>
      <c r="C213" s="4"/>
      <c r="D213" s="4"/>
      <c r="E213" s="4"/>
      <c r="F213" s="4"/>
      <c r="G213" s="12"/>
      <c r="H213" s="25"/>
      <c r="I213" s="4"/>
      <c r="J213" s="12"/>
      <c r="K213" s="4"/>
    </row>
    <row r="214" ht="15.75" customHeight="1">
      <c r="A214" s="26"/>
      <c r="B214" s="4"/>
      <c r="C214" s="4"/>
      <c r="D214" s="4"/>
      <c r="E214" s="4"/>
      <c r="F214" s="4"/>
      <c r="G214" s="12"/>
      <c r="H214" s="25"/>
      <c r="I214" s="4"/>
      <c r="J214" s="12"/>
      <c r="K214" s="4"/>
    </row>
    <row r="215" ht="15.75" customHeight="1">
      <c r="A215" s="26"/>
      <c r="B215" s="4"/>
      <c r="C215" s="4"/>
      <c r="D215" s="4"/>
      <c r="E215" s="4"/>
      <c r="F215" s="4"/>
      <c r="G215" s="12"/>
      <c r="H215" s="25"/>
      <c r="I215" s="4"/>
      <c r="J215" s="12"/>
      <c r="K215" s="4"/>
    </row>
    <row r="216" ht="15.75" customHeight="1">
      <c r="A216" s="26"/>
      <c r="B216" s="4"/>
      <c r="C216" s="4"/>
      <c r="D216" s="4"/>
      <c r="E216" s="4"/>
      <c r="F216" s="4"/>
      <c r="G216" s="12"/>
      <c r="H216" s="25"/>
      <c r="I216" s="4"/>
      <c r="J216" s="12"/>
      <c r="K216" s="4"/>
    </row>
    <row r="217" ht="15.75" customHeight="1">
      <c r="A217" s="26"/>
      <c r="B217" s="4"/>
      <c r="C217" s="4"/>
      <c r="D217" s="4"/>
      <c r="E217" s="4"/>
      <c r="F217" s="4"/>
      <c r="G217" s="12"/>
      <c r="H217" s="25"/>
      <c r="I217" s="4"/>
      <c r="J217" s="12"/>
      <c r="K217" s="4"/>
    </row>
    <row r="218" ht="15.75" customHeight="1">
      <c r="A218" s="26"/>
      <c r="B218" s="4"/>
      <c r="C218" s="4"/>
      <c r="D218" s="4"/>
      <c r="E218" s="4"/>
      <c r="F218" s="4"/>
      <c r="G218" s="12"/>
      <c r="H218" s="25"/>
      <c r="I218" s="4"/>
      <c r="J218" s="12"/>
      <c r="K218" s="4"/>
    </row>
    <row r="219" ht="15.75" customHeight="1">
      <c r="A219" s="26"/>
      <c r="B219" s="4"/>
      <c r="C219" s="4"/>
      <c r="D219" s="4"/>
      <c r="E219" s="4"/>
      <c r="F219" s="4"/>
      <c r="G219" s="12"/>
      <c r="H219" s="25"/>
      <c r="I219" s="4"/>
      <c r="J219" s="12"/>
      <c r="K219" s="4"/>
    </row>
    <row r="220" ht="15.75" customHeight="1">
      <c r="A220" s="26"/>
      <c r="B220" s="4"/>
      <c r="C220" s="4"/>
      <c r="D220" s="4"/>
      <c r="E220" s="4"/>
      <c r="F220" s="4"/>
      <c r="G220" s="12"/>
      <c r="H220" s="25"/>
      <c r="I220" s="4"/>
      <c r="J220" s="12"/>
      <c r="K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7" width="14.0"/>
    <col customWidth="1" min="8" max="9" width="12.0"/>
    <col customWidth="1" min="10" max="10" width="24.0"/>
    <col customWidth="1" min="11" max="26" width="8.71"/>
  </cols>
  <sheetData>
    <row r="1" ht="27.75" customHeight="1">
      <c r="A1" s="1" t="s">
        <v>395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29" t="s">
        <v>37</v>
      </c>
      <c r="B2" s="29" t="s">
        <v>396</v>
      </c>
      <c r="C2" s="29" t="s">
        <v>397</v>
      </c>
      <c r="D2" s="29" t="s">
        <v>398</v>
      </c>
      <c r="E2" s="29" t="s">
        <v>399</v>
      </c>
      <c r="F2" s="29" t="s">
        <v>400</v>
      </c>
      <c r="G2" s="29" t="s">
        <v>401</v>
      </c>
      <c r="H2" s="29" t="s">
        <v>402</v>
      </c>
      <c r="I2" s="29" t="s">
        <v>43</v>
      </c>
      <c r="J2" s="29" t="s">
        <v>274</v>
      </c>
    </row>
    <row r="3">
      <c r="A3" s="19" t="s">
        <v>115</v>
      </c>
      <c r="B3" s="19" t="s">
        <v>403</v>
      </c>
      <c r="C3" s="24">
        <v>46145.0</v>
      </c>
      <c r="D3" s="24">
        <v>46159.0</v>
      </c>
      <c r="E3" s="22">
        <v>120000.0</v>
      </c>
      <c r="F3" s="22">
        <v>0.0</v>
      </c>
      <c r="G3" s="22">
        <f t="shared" ref="G3:G5" si="1">E3-F3</f>
        <v>120000</v>
      </c>
      <c r="H3" s="19">
        <f t="shared" ref="H3:H5" si="2">MAX(0,TODAY()-D3)</f>
        <v>0</v>
      </c>
      <c r="I3" s="19" t="str">
        <f t="shared" ref="I3:I5" si="3">IF(G3&lt;=0,"Pagado",IF(TODAY()&gt;D3,"Vencido","Pendiente"))</f>
        <v>Pendiente</v>
      </c>
      <c r="J3" s="19" t="s">
        <v>404</v>
      </c>
    </row>
    <row r="4">
      <c r="A4" s="19" t="s">
        <v>93</v>
      </c>
      <c r="B4" s="19" t="s">
        <v>405</v>
      </c>
      <c r="C4" s="24">
        <v>46147.0</v>
      </c>
      <c r="D4" s="24">
        <v>46154.0</v>
      </c>
      <c r="E4" s="22">
        <v>45000.0</v>
      </c>
      <c r="F4" s="22">
        <v>0.0</v>
      </c>
      <c r="G4" s="22">
        <f t="shared" si="1"/>
        <v>45000</v>
      </c>
      <c r="H4" s="19">
        <f t="shared" si="2"/>
        <v>2</v>
      </c>
      <c r="I4" s="19" t="str">
        <f t="shared" si="3"/>
        <v>Vencido</v>
      </c>
      <c r="J4" s="19" t="s">
        <v>406</v>
      </c>
    </row>
    <row r="5">
      <c r="A5" s="19" t="s">
        <v>163</v>
      </c>
      <c r="B5" s="19" t="s">
        <v>407</v>
      </c>
      <c r="C5" s="24">
        <v>46148.0</v>
      </c>
      <c r="D5" s="24">
        <v>46162.0</v>
      </c>
      <c r="E5" s="22">
        <v>30000.0</v>
      </c>
      <c r="F5" s="22">
        <v>10000.0</v>
      </c>
      <c r="G5" s="22">
        <f t="shared" si="1"/>
        <v>20000</v>
      </c>
      <c r="H5" s="19">
        <f t="shared" si="2"/>
        <v>0</v>
      </c>
      <c r="I5" s="19" t="str">
        <f t="shared" si="3"/>
        <v>Pendiente</v>
      </c>
      <c r="J5" s="19" t="s">
        <v>408</v>
      </c>
    </row>
    <row r="6">
      <c r="A6" s="4"/>
      <c r="B6" s="4"/>
      <c r="C6" s="26"/>
      <c r="D6" s="26"/>
      <c r="E6" s="12"/>
      <c r="F6" s="12"/>
      <c r="G6" s="12"/>
      <c r="H6" s="4"/>
      <c r="I6" s="4"/>
      <c r="J6" s="4"/>
    </row>
    <row r="7">
      <c r="A7" s="4"/>
      <c r="B7" s="4"/>
      <c r="C7" s="26"/>
      <c r="D7" s="26"/>
      <c r="E7" s="12"/>
      <c r="F7" s="12"/>
      <c r="G7" s="12"/>
      <c r="H7" s="4"/>
      <c r="I7" s="4"/>
      <c r="J7" s="4"/>
    </row>
    <row r="8">
      <c r="A8" s="4"/>
      <c r="B8" s="4"/>
      <c r="C8" s="26"/>
      <c r="D8" s="26"/>
      <c r="E8" s="12"/>
      <c r="F8" s="12"/>
      <c r="G8" s="12"/>
      <c r="H8" s="4"/>
      <c r="I8" s="4"/>
      <c r="J8" s="4"/>
    </row>
    <row r="9">
      <c r="A9" s="4"/>
      <c r="B9" s="4"/>
      <c r="C9" s="26"/>
      <c r="D9" s="26"/>
      <c r="E9" s="12"/>
      <c r="F9" s="12"/>
      <c r="G9" s="12"/>
      <c r="H9" s="4"/>
      <c r="I9" s="4"/>
      <c r="J9" s="4"/>
    </row>
    <row r="10">
      <c r="A10" s="4"/>
      <c r="B10" s="4"/>
      <c r="C10" s="26"/>
      <c r="D10" s="26"/>
      <c r="E10" s="12"/>
      <c r="F10" s="12"/>
      <c r="G10" s="12"/>
      <c r="H10" s="4"/>
      <c r="I10" s="4"/>
      <c r="J10" s="4"/>
    </row>
    <row r="11">
      <c r="A11" s="4"/>
      <c r="B11" s="4"/>
      <c r="C11" s="26"/>
      <c r="D11" s="26"/>
      <c r="E11" s="12"/>
      <c r="F11" s="12"/>
      <c r="G11" s="12"/>
      <c r="H11" s="4"/>
      <c r="I11" s="4"/>
      <c r="J11" s="4"/>
    </row>
    <row r="12">
      <c r="A12" s="4"/>
      <c r="B12" s="4"/>
      <c r="C12" s="26"/>
      <c r="D12" s="26"/>
      <c r="E12" s="12"/>
      <c r="F12" s="12"/>
      <c r="G12" s="12"/>
      <c r="H12" s="4"/>
      <c r="I12" s="4"/>
      <c r="J12" s="4"/>
    </row>
    <row r="13">
      <c r="A13" s="4"/>
      <c r="B13" s="4"/>
      <c r="C13" s="26"/>
      <c r="D13" s="26"/>
      <c r="E13" s="12"/>
      <c r="F13" s="12"/>
      <c r="G13" s="12"/>
      <c r="H13" s="4"/>
      <c r="I13" s="4"/>
      <c r="J13" s="4"/>
    </row>
    <row r="14">
      <c r="A14" s="4"/>
      <c r="B14" s="4"/>
      <c r="C14" s="26"/>
      <c r="D14" s="26"/>
      <c r="E14" s="12"/>
      <c r="F14" s="12"/>
      <c r="G14" s="12"/>
      <c r="H14" s="4"/>
      <c r="I14" s="4"/>
      <c r="J14" s="4"/>
    </row>
    <row r="15">
      <c r="A15" s="4"/>
      <c r="B15" s="4"/>
      <c r="C15" s="26"/>
      <c r="D15" s="26"/>
      <c r="E15" s="12"/>
      <c r="F15" s="12"/>
      <c r="G15" s="12"/>
      <c r="H15" s="4"/>
      <c r="I15" s="4"/>
      <c r="J15" s="4"/>
    </row>
    <row r="16">
      <c r="A16" s="4"/>
      <c r="B16" s="4"/>
      <c r="C16" s="26"/>
      <c r="D16" s="26"/>
      <c r="E16" s="12"/>
      <c r="F16" s="12"/>
      <c r="G16" s="12"/>
      <c r="H16" s="4"/>
      <c r="I16" s="4"/>
      <c r="J16" s="4"/>
    </row>
    <row r="17">
      <c r="A17" s="4"/>
      <c r="B17" s="4"/>
      <c r="C17" s="26"/>
      <c r="D17" s="26"/>
      <c r="E17" s="12"/>
      <c r="F17" s="12"/>
      <c r="G17" s="12"/>
      <c r="H17" s="4"/>
      <c r="I17" s="4"/>
      <c r="J17" s="4"/>
    </row>
    <row r="18">
      <c r="A18" s="4"/>
      <c r="B18" s="4"/>
      <c r="C18" s="26"/>
      <c r="D18" s="26"/>
      <c r="E18" s="12"/>
      <c r="F18" s="12"/>
      <c r="G18" s="12"/>
      <c r="H18" s="4"/>
      <c r="I18" s="4"/>
      <c r="J18" s="4"/>
    </row>
    <row r="19">
      <c r="A19" s="4"/>
      <c r="B19" s="4"/>
      <c r="C19" s="26"/>
      <c r="D19" s="26"/>
      <c r="E19" s="12"/>
      <c r="F19" s="12"/>
      <c r="G19" s="12"/>
      <c r="H19" s="4"/>
      <c r="I19" s="4"/>
      <c r="J19" s="4"/>
    </row>
    <row r="20">
      <c r="A20" s="4"/>
      <c r="B20" s="4"/>
      <c r="C20" s="26"/>
      <c r="D20" s="26"/>
      <c r="E20" s="12"/>
      <c r="F20" s="12"/>
      <c r="G20" s="12"/>
      <c r="H20" s="4"/>
      <c r="I20" s="4"/>
      <c r="J20" s="4"/>
    </row>
    <row r="21" ht="15.75" customHeight="1">
      <c r="A21" s="4"/>
      <c r="B21" s="4"/>
      <c r="C21" s="26"/>
      <c r="D21" s="26"/>
      <c r="E21" s="12"/>
      <c r="F21" s="12"/>
      <c r="G21" s="12"/>
      <c r="H21" s="4"/>
      <c r="I21" s="4"/>
      <c r="J21" s="4"/>
    </row>
    <row r="22" ht="15.75" customHeight="1">
      <c r="A22" s="4"/>
      <c r="B22" s="4"/>
      <c r="C22" s="26"/>
      <c r="D22" s="26"/>
      <c r="E22" s="12"/>
      <c r="F22" s="12"/>
      <c r="G22" s="12"/>
      <c r="H22" s="4"/>
      <c r="I22" s="4"/>
      <c r="J22" s="4"/>
    </row>
    <row r="23" ht="15.75" customHeight="1">
      <c r="A23" s="4"/>
      <c r="B23" s="4"/>
      <c r="C23" s="26"/>
      <c r="D23" s="26"/>
      <c r="E23" s="12"/>
      <c r="F23" s="12"/>
      <c r="G23" s="12"/>
      <c r="H23" s="4"/>
      <c r="I23" s="4"/>
      <c r="J23" s="4"/>
    </row>
    <row r="24" ht="15.75" customHeight="1">
      <c r="A24" s="4"/>
      <c r="B24" s="4"/>
      <c r="C24" s="26"/>
      <c r="D24" s="26"/>
      <c r="E24" s="12"/>
      <c r="F24" s="12"/>
      <c r="G24" s="12"/>
      <c r="H24" s="4"/>
      <c r="I24" s="4"/>
      <c r="J24" s="4"/>
    </row>
    <row r="25" ht="15.75" customHeight="1">
      <c r="A25" s="4"/>
      <c r="B25" s="4"/>
      <c r="C25" s="26"/>
      <c r="D25" s="26"/>
      <c r="E25" s="12"/>
      <c r="F25" s="12"/>
      <c r="G25" s="12"/>
      <c r="H25" s="4"/>
      <c r="I25" s="4"/>
      <c r="J25" s="4"/>
    </row>
    <row r="26" ht="15.75" customHeight="1">
      <c r="A26" s="4"/>
      <c r="B26" s="4"/>
      <c r="C26" s="26"/>
      <c r="D26" s="26"/>
      <c r="E26" s="12"/>
      <c r="F26" s="12"/>
      <c r="G26" s="12"/>
      <c r="H26" s="4"/>
      <c r="I26" s="4"/>
      <c r="J26" s="4"/>
    </row>
    <row r="27" ht="15.75" customHeight="1">
      <c r="A27" s="4"/>
      <c r="B27" s="4"/>
      <c r="C27" s="26"/>
      <c r="D27" s="26"/>
      <c r="E27" s="12"/>
      <c r="F27" s="12"/>
      <c r="G27" s="12"/>
      <c r="H27" s="4"/>
      <c r="I27" s="4"/>
      <c r="J27" s="4"/>
    </row>
    <row r="28" ht="15.75" customHeight="1">
      <c r="A28" s="4"/>
      <c r="B28" s="4"/>
      <c r="C28" s="26"/>
      <c r="D28" s="26"/>
      <c r="E28" s="12"/>
      <c r="F28" s="12"/>
      <c r="G28" s="12"/>
      <c r="H28" s="4"/>
      <c r="I28" s="4"/>
      <c r="J28" s="4"/>
    </row>
    <row r="29" ht="15.75" customHeight="1">
      <c r="A29" s="4"/>
      <c r="B29" s="4"/>
      <c r="C29" s="26"/>
      <c r="D29" s="26"/>
      <c r="E29" s="12"/>
      <c r="F29" s="12"/>
      <c r="G29" s="12"/>
      <c r="H29" s="4"/>
      <c r="I29" s="4"/>
      <c r="J29" s="4"/>
    </row>
    <row r="30" ht="15.75" customHeight="1">
      <c r="A30" s="4"/>
      <c r="B30" s="4"/>
      <c r="C30" s="26"/>
      <c r="D30" s="26"/>
      <c r="E30" s="12"/>
      <c r="F30" s="12"/>
      <c r="G30" s="12"/>
      <c r="H30" s="4"/>
      <c r="I30" s="4"/>
      <c r="J30" s="4"/>
    </row>
    <row r="31" ht="15.75" customHeight="1">
      <c r="A31" s="4"/>
      <c r="B31" s="4"/>
      <c r="C31" s="26"/>
      <c r="D31" s="26"/>
      <c r="E31" s="12"/>
      <c r="F31" s="12"/>
      <c r="G31" s="12"/>
      <c r="H31" s="4"/>
      <c r="I31" s="4"/>
      <c r="J31" s="4"/>
    </row>
    <row r="32" ht="15.75" customHeight="1">
      <c r="A32" s="4"/>
      <c r="B32" s="4"/>
      <c r="C32" s="26"/>
      <c r="D32" s="26"/>
      <c r="E32" s="12"/>
      <c r="F32" s="12"/>
      <c r="G32" s="12"/>
      <c r="H32" s="4"/>
      <c r="I32" s="4"/>
      <c r="J32" s="4"/>
    </row>
    <row r="33" ht="15.75" customHeight="1">
      <c r="A33" s="4"/>
      <c r="B33" s="4"/>
      <c r="C33" s="26"/>
      <c r="D33" s="26"/>
      <c r="E33" s="12"/>
      <c r="F33" s="12"/>
      <c r="G33" s="12"/>
      <c r="H33" s="4"/>
      <c r="I33" s="4"/>
      <c r="J33" s="4"/>
    </row>
    <row r="34" ht="15.75" customHeight="1">
      <c r="A34" s="4"/>
      <c r="B34" s="4"/>
      <c r="C34" s="26"/>
      <c r="D34" s="26"/>
      <c r="E34" s="12"/>
      <c r="F34" s="12"/>
      <c r="G34" s="12"/>
      <c r="H34" s="4"/>
      <c r="I34" s="4"/>
      <c r="J34" s="4"/>
    </row>
    <row r="35" ht="15.75" customHeight="1">
      <c r="A35" s="4"/>
      <c r="B35" s="4"/>
      <c r="C35" s="26"/>
      <c r="D35" s="26"/>
      <c r="E35" s="12"/>
      <c r="F35" s="12"/>
      <c r="G35" s="12"/>
      <c r="H35" s="4"/>
      <c r="I35" s="4"/>
      <c r="J35" s="4"/>
    </row>
    <row r="36" ht="15.75" customHeight="1">
      <c r="A36" s="4"/>
      <c r="B36" s="4"/>
      <c r="C36" s="26"/>
      <c r="D36" s="26"/>
      <c r="E36" s="12"/>
      <c r="F36" s="12"/>
      <c r="G36" s="12"/>
      <c r="H36" s="4"/>
      <c r="I36" s="4"/>
      <c r="J36" s="4"/>
    </row>
    <row r="37" ht="15.75" customHeight="1">
      <c r="A37" s="4"/>
      <c r="B37" s="4"/>
      <c r="C37" s="26"/>
      <c r="D37" s="26"/>
      <c r="E37" s="12"/>
      <c r="F37" s="12"/>
      <c r="G37" s="12"/>
      <c r="H37" s="4"/>
      <c r="I37" s="4"/>
      <c r="J37" s="4"/>
    </row>
    <row r="38" ht="15.75" customHeight="1">
      <c r="A38" s="4"/>
      <c r="B38" s="4"/>
      <c r="C38" s="26"/>
      <c r="D38" s="26"/>
      <c r="E38" s="12"/>
      <c r="F38" s="12"/>
      <c r="G38" s="12"/>
      <c r="H38" s="4"/>
      <c r="I38" s="4"/>
      <c r="J38" s="4"/>
    </row>
    <row r="39" ht="15.75" customHeight="1">
      <c r="A39" s="4"/>
      <c r="B39" s="4"/>
      <c r="C39" s="26"/>
      <c r="D39" s="26"/>
      <c r="E39" s="12"/>
      <c r="F39" s="12"/>
      <c r="G39" s="12"/>
      <c r="H39" s="4"/>
      <c r="I39" s="4"/>
      <c r="J39" s="4"/>
    </row>
    <row r="40" ht="15.75" customHeight="1">
      <c r="A40" s="4"/>
      <c r="B40" s="4"/>
      <c r="C40" s="26"/>
      <c r="D40" s="26"/>
      <c r="E40" s="12"/>
      <c r="F40" s="12"/>
      <c r="G40" s="12"/>
      <c r="H40" s="4"/>
      <c r="I40" s="4"/>
      <c r="J40" s="4"/>
    </row>
    <row r="41" ht="15.75" customHeight="1">
      <c r="A41" s="4"/>
      <c r="B41" s="4"/>
      <c r="C41" s="26"/>
      <c r="D41" s="26"/>
      <c r="E41" s="12"/>
      <c r="F41" s="12"/>
      <c r="G41" s="12"/>
      <c r="H41" s="4"/>
      <c r="I41" s="4"/>
      <c r="J41" s="4"/>
    </row>
    <row r="42" ht="15.75" customHeight="1">
      <c r="A42" s="4"/>
      <c r="B42" s="4"/>
      <c r="C42" s="26"/>
      <c r="D42" s="26"/>
      <c r="E42" s="12"/>
      <c r="F42" s="12"/>
      <c r="G42" s="12"/>
      <c r="H42" s="4"/>
      <c r="I42" s="4"/>
      <c r="J42" s="4"/>
    </row>
    <row r="43" ht="15.75" customHeight="1">
      <c r="A43" s="4"/>
      <c r="B43" s="4"/>
      <c r="C43" s="26"/>
      <c r="D43" s="26"/>
      <c r="E43" s="12"/>
      <c r="F43" s="12"/>
      <c r="G43" s="12"/>
      <c r="H43" s="4"/>
      <c r="I43" s="4"/>
      <c r="J43" s="4"/>
    </row>
    <row r="44" ht="15.75" customHeight="1">
      <c r="A44" s="4"/>
      <c r="B44" s="4"/>
      <c r="C44" s="26"/>
      <c r="D44" s="26"/>
      <c r="E44" s="12"/>
      <c r="F44" s="12"/>
      <c r="G44" s="12"/>
      <c r="H44" s="4"/>
      <c r="I44" s="4"/>
      <c r="J44" s="4"/>
    </row>
    <row r="45" ht="15.75" customHeight="1">
      <c r="A45" s="4"/>
      <c r="B45" s="4"/>
      <c r="C45" s="26"/>
      <c r="D45" s="26"/>
      <c r="E45" s="12"/>
      <c r="F45" s="12"/>
      <c r="G45" s="12"/>
      <c r="H45" s="4"/>
      <c r="I45" s="4"/>
      <c r="J45" s="4"/>
    </row>
    <row r="46" ht="15.75" customHeight="1">
      <c r="A46" s="4"/>
      <c r="B46" s="4"/>
      <c r="C46" s="26"/>
      <c r="D46" s="26"/>
      <c r="E46" s="12"/>
      <c r="F46" s="12"/>
      <c r="G46" s="12"/>
      <c r="H46" s="4"/>
      <c r="I46" s="4"/>
      <c r="J46" s="4"/>
    </row>
    <row r="47" ht="15.75" customHeight="1">
      <c r="A47" s="4"/>
      <c r="B47" s="4"/>
      <c r="C47" s="26"/>
      <c r="D47" s="26"/>
      <c r="E47" s="12"/>
      <c r="F47" s="12"/>
      <c r="G47" s="12"/>
      <c r="H47" s="4"/>
      <c r="I47" s="4"/>
      <c r="J47" s="4"/>
    </row>
    <row r="48" ht="15.75" customHeight="1">
      <c r="A48" s="4"/>
      <c r="B48" s="4"/>
      <c r="C48" s="26"/>
      <c r="D48" s="26"/>
      <c r="E48" s="12"/>
      <c r="F48" s="12"/>
      <c r="G48" s="12"/>
      <c r="H48" s="4"/>
      <c r="I48" s="4"/>
      <c r="J48" s="4"/>
    </row>
    <row r="49" ht="15.75" customHeight="1">
      <c r="A49" s="4"/>
      <c r="B49" s="4"/>
      <c r="C49" s="26"/>
      <c r="D49" s="26"/>
      <c r="E49" s="12"/>
      <c r="F49" s="12"/>
      <c r="G49" s="12"/>
      <c r="H49" s="4"/>
      <c r="I49" s="4"/>
      <c r="J49" s="4"/>
    </row>
    <row r="50" ht="15.75" customHeight="1">
      <c r="A50" s="4"/>
      <c r="B50" s="4"/>
      <c r="C50" s="26"/>
      <c r="D50" s="26"/>
      <c r="E50" s="12"/>
      <c r="F50" s="12"/>
      <c r="G50" s="12"/>
      <c r="H50" s="4"/>
      <c r="I50" s="4"/>
      <c r="J50" s="4"/>
    </row>
    <row r="51" ht="15.75" customHeight="1">
      <c r="A51" s="4"/>
      <c r="B51" s="4"/>
      <c r="C51" s="26"/>
      <c r="D51" s="26"/>
      <c r="E51" s="12"/>
      <c r="F51" s="12"/>
      <c r="G51" s="12"/>
      <c r="H51" s="4"/>
      <c r="I51" s="4"/>
      <c r="J51" s="4"/>
    </row>
    <row r="52" ht="15.75" customHeight="1">
      <c r="A52" s="4"/>
      <c r="B52" s="4"/>
      <c r="C52" s="26"/>
      <c r="D52" s="26"/>
      <c r="E52" s="12"/>
      <c r="F52" s="12"/>
      <c r="G52" s="12"/>
      <c r="H52" s="4"/>
      <c r="I52" s="4"/>
      <c r="J52" s="4"/>
    </row>
    <row r="53" ht="15.75" customHeight="1">
      <c r="A53" s="4"/>
      <c r="B53" s="4"/>
      <c r="C53" s="26"/>
      <c r="D53" s="26"/>
      <c r="E53" s="12"/>
      <c r="F53" s="12"/>
      <c r="G53" s="12"/>
      <c r="H53" s="4"/>
      <c r="I53" s="4"/>
      <c r="J53" s="4"/>
    </row>
    <row r="54" ht="15.75" customHeight="1">
      <c r="A54" s="4"/>
      <c r="B54" s="4"/>
      <c r="C54" s="26"/>
      <c r="D54" s="26"/>
      <c r="E54" s="12"/>
      <c r="F54" s="12"/>
      <c r="G54" s="12"/>
      <c r="H54" s="4"/>
      <c r="I54" s="4"/>
      <c r="J54" s="4"/>
    </row>
    <row r="55" ht="15.75" customHeight="1">
      <c r="A55" s="4"/>
      <c r="B55" s="4"/>
      <c r="C55" s="26"/>
      <c r="D55" s="26"/>
      <c r="E55" s="12"/>
      <c r="F55" s="12"/>
      <c r="G55" s="12"/>
      <c r="H55" s="4"/>
      <c r="I55" s="4"/>
      <c r="J55" s="4"/>
    </row>
    <row r="56" ht="15.75" customHeight="1">
      <c r="A56" s="4"/>
      <c r="B56" s="4"/>
      <c r="C56" s="26"/>
      <c r="D56" s="26"/>
      <c r="E56" s="12"/>
      <c r="F56" s="12"/>
      <c r="G56" s="12"/>
      <c r="H56" s="4"/>
      <c r="I56" s="4"/>
      <c r="J56" s="4"/>
    </row>
    <row r="57" ht="15.75" customHeight="1">
      <c r="A57" s="4"/>
      <c r="B57" s="4"/>
      <c r="C57" s="26"/>
      <c r="D57" s="26"/>
      <c r="E57" s="12"/>
      <c r="F57" s="12"/>
      <c r="G57" s="12"/>
      <c r="H57" s="4"/>
      <c r="I57" s="4"/>
      <c r="J57" s="4"/>
    </row>
    <row r="58" ht="15.75" customHeight="1">
      <c r="A58" s="4"/>
      <c r="B58" s="4"/>
      <c r="C58" s="26"/>
      <c r="D58" s="26"/>
      <c r="E58" s="12"/>
      <c r="F58" s="12"/>
      <c r="G58" s="12"/>
      <c r="H58" s="4"/>
      <c r="I58" s="4"/>
      <c r="J58" s="4"/>
    </row>
    <row r="59" ht="15.75" customHeight="1">
      <c r="A59" s="4"/>
      <c r="B59" s="4"/>
      <c r="C59" s="26"/>
      <c r="D59" s="26"/>
      <c r="E59" s="12"/>
      <c r="F59" s="12"/>
      <c r="G59" s="12"/>
      <c r="H59" s="4"/>
      <c r="I59" s="4"/>
      <c r="J59" s="4"/>
    </row>
    <row r="60" ht="15.75" customHeight="1">
      <c r="A60" s="4"/>
      <c r="B60" s="4"/>
      <c r="C60" s="26"/>
      <c r="D60" s="26"/>
      <c r="E60" s="12"/>
      <c r="F60" s="12"/>
      <c r="G60" s="12"/>
      <c r="H60" s="4"/>
      <c r="I60" s="4"/>
      <c r="J60" s="4"/>
    </row>
    <row r="61" ht="15.75" customHeight="1">
      <c r="A61" s="4"/>
      <c r="B61" s="4"/>
      <c r="C61" s="26"/>
      <c r="D61" s="26"/>
      <c r="E61" s="12"/>
      <c r="F61" s="12"/>
      <c r="G61" s="12"/>
      <c r="H61" s="4"/>
      <c r="I61" s="4"/>
      <c r="J61" s="4"/>
    </row>
    <row r="62" ht="15.75" customHeight="1">
      <c r="A62" s="4"/>
      <c r="B62" s="4"/>
      <c r="C62" s="26"/>
      <c r="D62" s="26"/>
      <c r="E62" s="12"/>
      <c r="F62" s="12"/>
      <c r="G62" s="12"/>
      <c r="H62" s="4"/>
      <c r="I62" s="4"/>
      <c r="J62" s="4"/>
    </row>
    <row r="63" ht="15.75" customHeight="1">
      <c r="A63" s="4"/>
      <c r="B63" s="4"/>
      <c r="C63" s="26"/>
      <c r="D63" s="26"/>
      <c r="E63" s="12"/>
      <c r="F63" s="12"/>
      <c r="G63" s="12"/>
      <c r="H63" s="4"/>
      <c r="I63" s="4"/>
      <c r="J63" s="4"/>
    </row>
    <row r="64" ht="15.75" customHeight="1">
      <c r="A64" s="4"/>
      <c r="B64" s="4"/>
      <c r="C64" s="26"/>
      <c r="D64" s="26"/>
      <c r="E64" s="12"/>
      <c r="F64" s="12"/>
      <c r="G64" s="12"/>
      <c r="H64" s="4"/>
      <c r="I64" s="4"/>
      <c r="J64" s="4"/>
    </row>
    <row r="65" ht="15.75" customHeight="1">
      <c r="A65" s="4"/>
      <c r="B65" s="4"/>
      <c r="C65" s="26"/>
      <c r="D65" s="26"/>
      <c r="E65" s="12"/>
      <c r="F65" s="12"/>
      <c r="G65" s="12"/>
      <c r="H65" s="4"/>
      <c r="I65" s="4"/>
      <c r="J65" s="4"/>
    </row>
    <row r="66" ht="15.75" customHeight="1">
      <c r="A66" s="4"/>
      <c r="B66" s="4"/>
      <c r="C66" s="26"/>
      <c r="D66" s="26"/>
      <c r="E66" s="12"/>
      <c r="F66" s="12"/>
      <c r="G66" s="12"/>
      <c r="H66" s="4"/>
      <c r="I66" s="4"/>
      <c r="J66" s="4"/>
    </row>
    <row r="67" ht="15.75" customHeight="1">
      <c r="A67" s="4"/>
      <c r="B67" s="4"/>
      <c r="C67" s="26"/>
      <c r="D67" s="26"/>
      <c r="E67" s="12"/>
      <c r="F67" s="12"/>
      <c r="G67" s="12"/>
      <c r="H67" s="4"/>
      <c r="I67" s="4"/>
      <c r="J67" s="4"/>
    </row>
    <row r="68" ht="15.75" customHeight="1">
      <c r="A68" s="4"/>
      <c r="B68" s="4"/>
      <c r="C68" s="26"/>
      <c r="D68" s="26"/>
      <c r="E68" s="12"/>
      <c r="F68" s="12"/>
      <c r="G68" s="12"/>
      <c r="H68" s="4"/>
      <c r="I68" s="4"/>
      <c r="J68" s="4"/>
    </row>
    <row r="69" ht="15.75" customHeight="1">
      <c r="A69" s="4"/>
      <c r="B69" s="4"/>
      <c r="C69" s="26"/>
      <c r="D69" s="26"/>
      <c r="E69" s="12"/>
      <c r="F69" s="12"/>
      <c r="G69" s="12"/>
      <c r="H69" s="4"/>
      <c r="I69" s="4"/>
      <c r="J69" s="4"/>
    </row>
    <row r="70" ht="15.75" customHeight="1">
      <c r="A70" s="4"/>
      <c r="B70" s="4"/>
      <c r="C70" s="26"/>
      <c r="D70" s="26"/>
      <c r="E70" s="12"/>
      <c r="F70" s="12"/>
      <c r="G70" s="12"/>
      <c r="H70" s="4"/>
      <c r="I70" s="4"/>
      <c r="J70" s="4"/>
    </row>
    <row r="71" ht="15.75" customHeight="1">
      <c r="A71" s="4"/>
      <c r="B71" s="4"/>
      <c r="C71" s="26"/>
      <c r="D71" s="26"/>
      <c r="E71" s="12"/>
      <c r="F71" s="12"/>
      <c r="G71" s="12"/>
      <c r="H71" s="4"/>
      <c r="I71" s="4"/>
      <c r="J71" s="4"/>
    </row>
    <row r="72" ht="15.75" customHeight="1">
      <c r="A72" s="4"/>
      <c r="B72" s="4"/>
      <c r="C72" s="26"/>
      <c r="D72" s="26"/>
      <c r="E72" s="12"/>
      <c r="F72" s="12"/>
      <c r="G72" s="12"/>
      <c r="H72" s="4"/>
      <c r="I72" s="4"/>
      <c r="J72" s="4"/>
    </row>
    <row r="73" ht="15.75" customHeight="1">
      <c r="A73" s="4"/>
      <c r="B73" s="4"/>
      <c r="C73" s="26"/>
      <c r="D73" s="26"/>
      <c r="E73" s="12"/>
      <c r="F73" s="12"/>
      <c r="G73" s="12"/>
      <c r="H73" s="4"/>
      <c r="I73" s="4"/>
      <c r="J73" s="4"/>
    </row>
    <row r="74" ht="15.75" customHeight="1">
      <c r="A74" s="4"/>
      <c r="B74" s="4"/>
      <c r="C74" s="26"/>
      <c r="D74" s="26"/>
      <c r="E74" s="12"/>
      <c r="F74" s="12"/>
      <c r="G74" s="12"/>
      <c r="H74" s="4"/>
      <c r="I74" s="4"/>
      <c r="J74" s="4"/>
    </row>
    <row r="75" ht="15.75" customHeight="1">
      <c r="A75" s="4"/>
      <c r="B75" s="4"/>
      <c r="C75" s="26"/>
      <c r="D75" s="26"/>
      <c r="E75" s="12"/>
      <c r="F75" s="12"/>
      <c r="G75" s="12"/>
      <c r="H75" s="4"/>
      <c r="I75" s="4"/>
      <c r="J75" s="4"/>
    </row>
    <row r="76" ht="15.75" customHeight="1">
      <c r="A76" s="4"/>
      <c r="B76" s="4"/>
      <c r="C76" s="26"/>
      <c r="D76" s="26"/>
      <c r="E76" s="12"/>
      <c r="F76" s="12"/>
      <c r="G76" s="12"/>
      <c r="H76" s="4"/>
      <c r="I76" s="4"/>
      <c r="J76" s="4"/>
    </row>
    <row r="77" ht="15.75" customHeight="1">
      <c r="A77" s="4"/>
      <c r="B77" s="4"/>
      <c r="C77" s="26"/>
      <c r="D77" s="26"/>
      <c r="E77" s="12"/>
      <c r="F77" s="12"/>
      <c r="G77" s="12"/>
      <c r="H77" s="4"/>
      <c r="I77" s="4"/>
      <c r="J77" s="4"/>
    </row>
    <row r="78" ht="15.75" customHeight="1">
      <c r="A78" s="4"/>
      <c r="B78" s="4"/>
      <c r="C78" s="26"/>
      <c r="D78" s="26"/>
      <c r="E78" s="12"/>
      <c r="F78" s="12"/>
      <c r="G78" s="12"/>
      <c r="H78" s="4"/>
      <c r="I78" s="4"/>
      <c r="J78" s="4"/>
    </row>
    <row r="79" ht="15.75" customHeight="1">
      <c r="A79" s="4"/>
      <c r="B79" s="4"/>
      <c r="C79" s="26"/>
      <c r="D79" s="26"/>
      <c r="E79" s="12"/>
      <c r="F79" s="12"/>
      <c r="G79" s="12"/>
      <c r="H79" s="4"/>
      <c r="I79" s="4"/>
      <c r="J79" s="4"/>
    </row>
    <row r="80" ht="15.75" customHeight="1">
      <c r="A80" s="4"/>
      <c r="B80" s="4"/>
      <c r="C80" s="26"/>
      <c r="D80" s="26"/>
      <c r="E80" s="12"/>
      <c r="F80" s="12"/>
      <c r="G80" s="12"/>
      <c r="H80" s="4"/>
      <c r="I80" s="4"/>
      <c r="J80" s="4"/>
    </row>
    <row r="81" ht="15.75" customHeight="1">
      <c r="A81" s="4"/>
      <c r="B81" s="4"/>
      <c r="C81" s="26"/>
      <c r="D81" s="26"/>
      <c r="E81" s="12"/>
      <c r="F81" s="12"/>
      <c r="G81" s="12"/>
      <c r="H81" s="4"/>
      <c r="I81" s="4"/>
      <c r="J81" s="4"/>
    </row>
    <row r="82" ht="15.75" customHeight="1">
      <c r="A82" s="4"/>
      <c r="B82" s="4"/>
      <c r="C82" s="26"/>
      <c r="D82" s="26"/>
      <c r="E82" s="12"/>
      <c r="F82" s="12"/>
      <c r="G82" s="12"/>
      <c r="H82" s="4"/>
      <c r="I82" s="4"/>
      <c r="J82" s="4"/>
    </row>
    <row r="83" ht="15.75" customHeight="1">
      <c r="A83" s="4"/>
      <c r="B83" s="4"/>
      <c r="C83" s="26"/>
      <c r="D83" s="26"/>
      <c r="E83" s="12"/>
      <c r="F83" s="12"/>
      <c r="G83" s="12"/>
      <c r="H83" s="4"/>
      <c r="I83" s="4"/>
      <c r="J83" s="4"/>
    </row>
    <row r="84" ht="15.75" customHeight="1">
      <c r="A84" s="4"/>
      <c r="B84" s="4"/>
      <c r="C84" s="26"/>
      <c r="D84" s="26"/>
      <c r="E84" s="12"/>
      <c r="F84" s="12"/>
      <c r="G84" s="12"/>
      <c r="H84" s="4"/>
      <c r="I84" s="4"/>
      <c r="J84" s="4"/>
    </row>
    <row r="85" ht="15.75" customHeight="1">
      <c r="A85" s="4"/>
      <c r="B85" s="4"/>
      <c r="C85" s="26"/>
      <c r="D85" s="26"/>
      <c r="E85" s="12"/>
      <c r="F85" s="12"/>
      <c r="G85" s="12"/>
      <c r="H85" s="4"/>
      <c r="I85" s="4"/>
      <c r="J85" s="4"/>
    </row>
    <row r="86" ht="15.75" customHeight="1">
      <c r="A86" s="4"/>
      <c r="B86" s="4"/>
      <c r="C86" s="26"/>
      <c r="D86" s="26"/>
      <c r="E86" s="12"/>
      <c r="F86" s="12"/>
      <c r="G86" s="12"/>
      <c r="H86" s="4"/>
      <c r="I86" s="4"/>
      <c r="J86" s="4"/>
    </row>
    <row r="87" ht="15.75" customHeight="1">
      <c r="A87" s="4"/>
      <c r="B87" s="4"/>
      <c r="C87" s="26"/>
      <c r="D87" s="26"/>
      <c r="E87" s="12"/>
      <c r="F87" s="12"/>
      <c r="G87" s="12"/>
      <c r="H87" s="4"/>
      <c r="I87" s="4"/>
      <c r="J87" s="4"/>
    </row>
    <row r="88" ht="15.75" customHeight="1">
      <c r="A88" s="4"/>
      <c r="B88" s="4"/>
      <c r="C88" s="26"/>
      <c r="D88" s="26"/>
      <c r="E88" s="12"/>
      <c r="F88" s="12"/>
      <c r="G88" s="12"/>
      <c r="H88" s="4"/>
      <c r="I88" s="4"/>
      <c r="J88" s="4"/>
    </row>
    <row r="89" ht="15.75" customHeight="1">
      <c r="A89" s="4"/>
      <c r="B89" s="4"/>
      <c r="C89" s="26"/>
      <c r="D89" s="26"/>
      <c r="E89" s="12"/>
      <c r="F89" s="12"/>
      <c r="G89" s="12"/>
      <c r="H89" s="4"/>
      <c r="I89" s="4"/>
      <c r="J89" s="4"/>
    </row>
    <row r="90" ht="15.75" customHeight="1">
      <c r="A90" s="4"/>
      <c r="B90" s="4"/>
      <c r="C90" s="26"/>
      <c r="D90" s="26"/>
      <c r="E90" s="12"/>
      <c r="F90" s="12"/>
      <c r="G90" s="12"/>
      <c r="H90" s="4"/>
      <c r="I90" s="4"/>
      <c r="J90" s="4"/>
    </row>
    <row r="91" ht="15.75" customHeight="1">
      <c r="A91" s="4"/>
      <c r="B91" s="4"/>
      <c r="C91" s="26"/>
      <c r="D91" s="26"/>
      <c r="E91" s="12"/>
      <c r="F91" s="12"/>
      <c r="G91" s="12"/>
      <c r="H91" s="4"/>
      <c r="I91" s="4"/>
      <c r="J91" s="4"/>
    </row>
    <row r="92" ht="15.75" customHeight="1">
      <c r="A92" s="4"/>
      <c r="B92" s="4"/>
      <c r="C92" s="26"/>
      <c r="D92" s="26"/>
      <c r="E92" s="12"/>
      <c r="F92" s="12"/>
      <c r="G92" s="12"/>
      <c r="H92" s="4"/>
      <c r="I92" s="4"/>
      <c r="J92" s="4"/>
    </row>
    <row r="93" ht="15.75" customHeight="1">
      <c r="A93" s="4"/>
      <c r="B93" s="4"/>
      <c r="C93" s="26"/>
      <c r="D93" s="26"/>
      <c r="E93" s="12"/>
      <c r="F93" s="12"/>
      <c r="G93" s="12"/>
      <c r="H93" s="4"/>
      <c r="I93" s="4"/>
      <c r="J93" s="4"/>
    </row>
    <row r="94" ht="15.75" customHeight="1">
      <c r="A94" s="4"/>
      <c r="B94" s="4"/>
      <c r="C94" s="26"/>
      <c r="D94" s="26"/>
      <c r="E94" s="12"/>
      <c r="F94" s="12"/>
      <c r="G94" s="12"/>
      <c r="H94" s="4"/>
      <c r="I94" s="4"/>
      <c r="J94" s="4"/>
    </row>
    <row r="95" ht="15.75" customHeight="1">
      <c r="A95" s="4"/>
      <c r="B95" s="4"/>
      <c r="C95" s="26"/>
      <c r="D95" s="26"/>
      <c r="E95" s="12"/>
      <c r="F95" s="12"/>
      <c r="G95" s="12"/>
      <c r="H95" s="4"/>
      <c r="I95" s="4"/>
      <c r="J95" s="4"/>
    </row>
    <row r="96" ht="15.75" customHeight="1">
      <c r="A96" s="4"/>
      <c r="B96" s="4"/>
      <c r="C96" s="26"/>
      <c r="D96" s="26"/>
      <c r="E96" s="12"/>
      <c r="F96" s="12"/>
      <c r="G96" s="12"/>
      <c r="H96" s="4"/>
      <c r="I96" s="4"/>
      <c r="J96" s="4"/>
    </row>
    <row r="97" ht="15.75" customHeight="1">
      <c r="A97" s="4"/>
      <c r="B97" s="4"/>
      <c r="C97" s="26"/>
      <c r="D97" s="26"/>
      <c r="E97" s="12"/>
      <c r="F97" s="12"/>
      <c r="G97" s="12"/>
      <c r="H97" s="4"/>
      <c r="I97" s="4"/>
      <c r="J97" s="4"/>
    </row>
    <row r="98" ht="15.75" customHeight="1">
      <c r="A98" s="4"/>
      <c r="B98" s="4"/>
      <c r="C98" s="26"/>
      <c r="D98" s="26"/>
      <c r="E98" s="12"/>
      <c r="F98" s="12"/>
      <c r="G98" s="12"/>
      <c r="H98" s="4"/>
      <c r="I98" s="4"/>
      <c r="J98" s="4"/>
    </row>
    <row r="99" ht="15.75" customHeight="1">
      <c r="A99" s="4"/>
      <c r="B99" s="4"/>
      <c r="C99" s="26"/>
      <c r="D99" s="26"/>
      <c r="E99" s="12"/>
      <c r="F99" s="12"/>
      <c r="G99" s="12"/>
      <c r="H99" s="4"/>
      <c r="I99" s="4"/>
      <c r="J99" s="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conditionalFormatting sqref="I3:I1000">
    <cfRule type="expression" dxfId="5" priority="1">
      <formula>I3="Vencido"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4" width="14.0"/>
    <col customWidth="1" min="5" max="10" width="12.0"/>
    <col customWidth="1" min="11" max="12" width="14.0"/>
    <col customWidth="1" min="13" max="26" width="8.71"/>
  </cols>
  <sheetData>
    <row r="1" ht="27.75" customHeight="1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27" t="s">
        <v>193</v>
      </c>
      <c r="B2" s="27" t="s">
        <v>17</v>
      </c>
      <c r="C2" s="27" t="s">
        <v>200</v>
      </c>
      <c r="D2" s="27" t="s">
        <v>410</v>
      </c>
      <c r="E2" s="27" t="s">
        <v>411</v>
      </c>
      <c r="F2" s="27" t="s">
        <v>412</v>
      </c>
      <c r="G2" s="27" t="s">
        <v>413</v>
      </c>
      <c r="H2" s="27" t="s">
        <v>414</v>
      </c>
      <c r="I2" s="27" t="s">
        <v>415</v>
      </c>
      <c r="J2" s="27" t="s">
        <v>416</v>
      </c>
      <c r="K2" s="27" t="s">
        <v>417</v>
      </c>
      <c r="L2" s="27" t="s">
        <v>418</v>
      </c>
    </row>
    <row r="3">
      <c r="A3" s="19" t="s">
        <v>207</v>
      </c>
      <c r="B3" s="19" t="s">
        <v>19</v>
      </c>
      <c r="C3" s="22">
        <f>VLOOKUP(A3,Productos!$A:$P,9,FALSE)</f>
        <v>1970</v>
      </c>
      <c r="D3" s="22">
        <f>VLOOKUP(A3,Productos!$A:$P,11,FALSE)</f>
        <v>2490</v>
      </c>
      <c r="E3" s="22">
        <f>D3*(1-Escalas_Volumen!$D$3)</f>
        <v>2490</v>
      </c>
      <c r="F3" s="22">
        <f>D3*(1-Escalas_Volumen!$D$4)</f>
        <v>2365.5</v>
      </c>
      <c r="G3" s="22">
        <f>D3*(1-Escalas_Volumen!$D$5)</f>
        <v>2290.8</v>
      </c>
      <c r="H3" s="22">
        <f>D3*(1-Escalas_Volumen!$D$6)</f>
        <v>2191.2</v>
      </c>
      <c r="I3" s="22">
        <f>D3*(1-Escalas_Volumen!$D$7)</f>
        <v>2116.5</v>
      </c>
      <c r="J3" s="22">
        <f>D3*(1-Escalas_Volumen!$D$8)</f>
        <v>2041.8</v>
      </c>
      <c r="K3" s="23">
        <f t="shared" ref="K3:K16" si="1">IF(D3&gt;0,(D3-C3)/D3,0)</f>
        <v>0.2088353414</v>
      </c>
      <c r="L3" s="23">
        <f t="shared" ref="L3:L16" si="2">IF(J3&gt;0,(J3-C3)/J3,0)</f>
        <v>0.03516505045</v>
      </c>
    </row>
    <row r="4">
      <c r="A4" s="19" t="s">
        <v>213</v>
      </c>
      <c r="B4" s="19" t="s">
        <v>21</v>
      </c>
      <c r="C4" s="22">
        <f>VLOOKUP(A4,Productos!$A:$P,9,FALSE)</f>
        <v>5600</v>
      </c>
      <c r="D4" s="22">
        <f>VLOOKUP(A4,Productos!$A:$P,11,FALSE)</f>
        <v>6990</v>
      </c>
      <c r="E4" s="22">
        <f>D4*(1-Escalas_Volumen!$D$3)</f>
        <v>6990</v>
      </c>
      <c r="F4" s="22">
        <f>D4*(1-Escalas_Volumen!$D$4)</f>
        <v>6640.5</v>
      </c>
      <c r="G4" s="22">
        <f>D4*(1-Escalas_Volumen!$D$5)</f>
        <v>6430.8</v>
      </c>
      <c r="H4" s="22">
        <f>D4*(1-Escalas_Volumen!$D$6)</f>
        <v>6151.2</v>
      </c>
      <c r="I4" s="22">
        <f>D4*(1-Escalas_Volumen!$D$7)</f>
        <v>5941.5</v>
      </c>
      <c r="J4" s="22">
        <f>D4*(1-Escalas_Volumen!$D$8)</f>
        <v>5731.8</v>
      </c>
      <c r="K4" s="23">
        <f t="shared" si="1"/>
        <v>0.1988555079</v>
      </c>
      <c r="L4" s="23">
        <f t="shared" si="2"/>
        <v>0.02299452179</v>
      </c>
    </row>
    <row r="5">
      <c r="A5" s="19" t="s">
        <v>216</v>
      </c>
      <c r="B5" s="19" t="s">
        <v>23</v>
      </c>
      <c r="C5" s="22">
        <f>VLOOKUP(A5,Productos!$A:$P,9,FALSE)</f>
        <v>1530</v>
      </c>
      <c r="D5" s="22">
        <f>VLOOKUP(A5,Productos!$A:$P,11,FALSE)</f>
        <v>1990</v>
      </c>
      <c r="E5" s="22">
        <f>D5*(1-Escalas_Volumen!$D$3)</f>
        <v>1990</v>
      </c>
      <c r="F5" s="22">
        <f>D5*(1-Escalas_Volumen!$D$4)</f>
        <v>1890.5</v>
      </c>
      <c r="G5" s="22">
        <f>D5*(1-Escalas_Volumen!$D$5)</f>
        <v>1830.8</v>
      </c>
      <c r="H5" s="22">
        <f>D5*(1-Escalas_Volumen!$D$6)</f>
        <v>1751.2</v>
      </c>
      <c r="I5" s="22">
        <f>D5*(1-Escalas_Volumen!$D$7)</f>
        <v>1691.5</v>
      </c>
      <c r="J5" s="22">
        <f>D5*(1-Escalas_Volumen!$D$8)</f>
        <v>1631.8</v>
      </c>
      <c r="K5" s="23">
        <f t="shared" si="1"/>
        <v>0.2311557789</v>
      </c>
      <c r="L5" s="23">
        <f t="shared" si="2"/>
        <v>0.06238509621</v>
      </c>
    </row>
    <row r="6">
      <c r="A6" s="19" t="s">
        <v>219</v>
      </c>
      <c r="B6" s="19" t="s">
        <v>25</v>
      </c>
      <c r="C6" s="22">
        <f>VLOOKUP(A6,Productos!$A:$P,9,FALSE)</f>
        <v>820</v>
      </c>
      <c r="D6" s="22">
        <f>VLOOKUP(A6,Productos!$A:$P,11,FALSE)</f>
        <v>1290</v>
      </c>
      <c r="E6" s="22">
        <f>D6*(1-Escalas_Volumen!$D$3)</f>
        <v>1290</v>
      </c>
      <c r="F6" s="22">
        <f>D6*(1-Escalas_Volumen!$D$4)</f>
        <v>1225.5</v>
      </c>
      <c r="G6" s="22">
        <f>D6*(1-Escalas_Volumen!$D$5)</f>
        <v>1186.8</v>
      </c>
      <c r="H6" s="22">
        <f>D6*(1-Escalas_Volumen!$D$6)</f>
        <v>1135.2</v>
      </c>
      <c r="I6" s="22">
        <f>D6*(1-Escalas_Volumen!$D$7)</f>
        <v>1096.5</v>
      </c>
      <c r="J6" s="22">
        <f>D6*(1-Escalas_Volumen!$D$8)</f>
        <v>1057.8</v>
      </c>
      <c r="K6" s="23">
        <f t="shared" si="1"/>
        <v>0.3643410853</v>
      </c>
      <c r="L6" s="23">
        <f t="shared" si="2"/>
        <v>0.2248062016</v>
      </c>
    </row>
    <row r="7">
      <c r="A7" s="19" t="s">
        <v>224</v>
      </c>
      <c r="B7" s="19" t="s">
        <v>27</v>
      </c>
      <c r="C7" s="22">
        <f>VLOOKUP(A7,Productos!$A:$P,9,FALSE)</f>
        <v>420</v>
      </c>
      <c r="D7" s="22">
        <f>VLOOKUP(A7,Productos!$A:$P,11,FALSE)</f>
        <v>790</v>
      </c>
      <c r="E7" s="22">
        <f>D7*(1-Escalas_Volumen!$D$3)</f>
        <v>790</v>
      </c>
      <c r="F7" s="22">
        <f>D7*(1-Escalas_Volumen!$D$4)</f>
        <v>750.5</v>
      </c>
      <c r="G7" s="22">
        <f>D7*(1-Escalas_Volumen!$D$5)</f>
        <v>726.8</v>
      </c>
      <c r="H7" s="22">
        <f>D7*(1-Escalas_Volumen!$D$6)</f>
        <v>695.2</v>
      </c>
      <c r="I7" s="22">
        <f>D7*(1-Escalas_Volumen!$D$7)</f>
        <v>671.5</v>
      </c>
      <c r="J7" s="22">
        <f>D7*(1-Escalas_Volumen!$D$8)</f>
        <v>647.8</v>
      </c>
      <c r="K7" s="23">
        <f t="shared" si="1"/>
        <v>0.4683544304</v>
      </c>
      <c r="L7" s="23">
        <f t="shared" si="2"/>
        <v>0.3516517444</v>
      </c>
    </row>
    <row r="8">
      <c r="A8" s="19" t="s">
        <v>227</v>
      </c>
      <c r="B8" s="19" t="s">
        <v>29</v>
      </c>
      <c r="C8" s="22">
        <f>VLOOKUP(A8,Productos!$A:$P,9,FALSE)</f>
        <v>2500</v>
      </c>
      <c r="D8" s="22">
        <f>VLOOKUP(A8,Productos!$A:$P,11,FALSE)</f>
        <v>3490</v>
      </c>
      <c r="E8" s="22">
        <f>D8*(1-Escalas_Volumen!$D$3)</f>
        <v>3490</v>
      </c>
      <c r="F8" s="22">
        <f>D8*(1-Escalas_Volumen!$D$4)</f>
        <v>3315.5</v>
      </c>
      <c r="G8" s="22">
        <f>D8*(1-Escalas_Volumen!$D$5)</f>
        <v>3210.8</v>
      </c>
      <c r="H8" s="22">
        <f>D8*(1-Escalas_Volumen!$D$6)</f>
        <v>3071.2</v>
      </c>
      <c r="I8" s="22">
        <f>D8*(1-Escalas_Volumen!$D$7)</f>
        <v>2966.5</v>
      </c>
      <c r="J8" s="22">
        <f>D8*(1-Escalas_Volumen!$D$8)</f>
        <v>2861.8</v>
      </c>
      <c r="K8" s="23">
        <f t="shared" si="1"/>
        <v>0.2836676218</v>
      </c>
      <c r="L8" s="23">
        <f t="shared" si="2"/>
        <v>0.126423929</v>
      </c>
    </row>
    <row r="9">
      <c r="A9" s="19" t="s">
        <v>229</v>
      </c>
      <c r="B9" s="19" t="s">
        <v>31</v>
      </c>
      <c r="C9" s="22">
        <f>VLOOKUP(A9,Productos!$A:$P,9,FALSE)</f>
        <v>6300</v>
      </c>
      <c r="D9" s="22">
        <f>VLOOKUP(A9,Productos!$A:$P,11,FALSE)</f>
        <v>7500</v>
      </c>
      <c r="E9" s="22">
        <f>D9*(1-Escalas_Volumen!$D$3)</f>
        <v>7500</v>
      </c>
      <c r="F9" s="22">
        <f>D9*(1-Escalas_Volumen!$D$4)</f>
        <v>7125</v>
      </c>
      <c r="G9" s="22">
        <f>D9*(1-Escalas_Volumen!$D$5)</f>
        <v>6900</v>
      </c>
      <c r="H9" s="22">
        <f>D9*(1-Escalas_Volumen!$D$6)</f>
        <v>6600</v>
      </c>
      <c r="I9" s="22">
        <f>D9*(1-Escalas_Volumen!$D$7)</f>
        <v>6375</v>
      </c>
      <c r="J9" s="22">
        <f>D9*(1-Escalas_Volumen!$D$8)</f>
        <v>6150</v>
      </c>
      <c r="K9" s="23">
        <f t="shared" si="1"/>
        <v>0.16</v>
      </c>
      <c r="L9" s="23">
        <f t="shared" si="2"/>
        <v>-0.0243902439</v>
      </c>
    </row>
    <row r="10">
      <c r="A10" s="19" t="s">
        <v>235</v>
      </c>
      <c r="B10" s="19" t="s">
        <v>32</v>
      </c>
      <c r="C10" s="22">
        <f>VLOOKUP(A10,Productos!$A:$P,9,FALSE)</f>
        <v>40300</v>
      </c>
      <c r="D10" s="22">
        <f>VLOOKUP(A10,Productos!$A:$P,11,FALSE)</f>
        <v>43900</v>
      </c>
      <c r="E10" s="22">
        <f>D10*(1-Escalas_Volumen!$D$3)</f>
        <v>43900</v>
      </c>
      <c r="F10" s="22">
        <f>D10*(1-Escalas_Volumen!$D$4)</f>
        <v>41705</v>
      </c>
      <c r="G10" s="22">
        <f>D10*(1-Escalas_Volumen!$D$5)</f>
        <v>40388</v>
      </c>
      <c r="H10" s="22">
        <f>D10*(1-Escalas_Volumen!$D$6)</f>
        <v>38632</v>
      </c>
      <c r="I10" s="22">
        <f>D10*(1-Escalas_Volumen!$D$7)</f>
        <v>37315</v>
      </c>
      <c r="J10" s="22">
        <f>D10*(1-Escalas_Volumen!$D$8)</f>
        <v>35998</v>
      </c>
      <c r="K10" s="23">
        <f t="shared" si="1"/>
        <v>0.08200455581</v>
      </c>
      <c r="L10" s="23">
        <f t="shared" si="2"/>
        <v>-0.1195066393</v>
      </c>
    </row>
    <row r="11">
      <c r="A11" s="19" t="s">
        <v>238</v>
      </c>
      <c r="B11" s="19" t="s">
        <v>240</v>
      </c>
      <c r="C11" s="22">
        <f>VLOOKUP(A11,Productos!$A:$P,9,FALSE)</f>
        <v>4350</v>
      </c>
      <c r="D11" s="22">
        <f>VLOOKUP(A11,Productos!$A:$P,11,FALSE)</f>
        <v>5990</v>
      </c>
      <c r="E11" s="22">
        <f>D11*(1-Escalas_Volumen!$D$3)</f>
        <v>5990</v>
      </c>
      <c r="F11" s="22">
        <f>D11*(1-Escalas_Volumen!$D$4)</f>
        <v>5690.5</v>
      </c>
      <c r="G11" s="22">
        <f>D11*(1-Escalas_Volumen!$D$5)</f>
        <v>5510.8</v>
      </c>
      <c r="H11" s="22">
        <f>D11*(1-Escalas_Volumen!$D$6)</f>
        <v>5271.2</v>
      </c>
      <c r="I11" s="22">
        <f>D11*(1-Escalas_Volumen!$D$7)</f>
        <v>5091.5</v>
      </c>
      <c r="J11" s="22">
        <f>D11*(1-Escalas_Volumen!$D$8)</f>
        <v>4911.8</v>
      </c>
      <c r="K11" s="23">
        <f t="shared" si="1"/>
        <v>0.2737896494</v>
      </c>
      <c r="L11" s="23">
        <f t="shared" si="2"/>
        <v>0.1143776212</v>
      </c>
    </row>
    <row r="12">
      <c r="A12" s="19" t="s">
        <v>243</v>
      </c>
      <c r="B12" s="19" t="s">
        <v>246</v>
      </c>
      <c r="C12" s="22">
        <f>VLOOKUP(A12,Productos!$A:$P,9,FALSE)</f>
        <v>1130</v>
      </c>
      <c r="D12" s="22">
        <f>VLOOKUP(A12,Productos!$A:$P,11,FALSE)</f>
        <v>1590</v>
      </c>
      <c r="E12" s="22">
        <f>D12*(1-Escalas_Volumen!$D$3)</f>
        <v>1590</v>
      </c>
      <c r="F12" s="22">
        <f>D12*(1-Escalas_Volumen!$D$4)</f>
        <v>1510.5</v>
      </c>
      <c r="G12" s="22">
        <f>D12*(1-Escalas_Volumen!$D$5)</f>
        <v>1462.8</v>
      </c>
      <c r="H12" s="22">
        <f>D12*(1-Escalas_Volumen!$D$6)</f>
        <v>1399.2</v>
      </c>
      <c r="I12" s="22">
        <f>D12*(1-Escalas_Volumen!$D$7)</f>
        <v>1351.5</v>
      </c>
      <c r="J12" s="22">
        <f>D12*(1-Escalas_Volumen!$D$8)</f>
        <v>1303.8</v>
      </c>
      <c r="K12" s="23">
        <f t="shared" si="1"/>
        <v>0.2893081761</v>
      </c>
      <c r="L12" s="23">
        <f t="shared" si="2"/>
        <v>0.1333026538</v>
      </c>
    </row>
    <row r="13">
      <c r="A13" s="19" t="s">
        <v>250</v>
      </c>
      <c r="B13" s="19" t="s">
        <v>252</v>
      </c>
      <c r="C13" s="22">
        <f>VLOOKUP(A13,Productos!$A:$P,9,FALSE)</f>
        <v>2500</v>
      </c>
      <c r="D13" s="22">
        <f>VLOOKUP(A13,Productos!$A:$P,11,FALSE)</f>
        <v>3500</v>
      </c>
      <c r="E13" s="22">
        <f>D13*(1-Escalas_Volumen!$D$3)</f>
        <v>3500</v>
      </c>
      <c r="F13" s="22">
        <f>D13*(1-Escalas_Volumen!$D$4)</f>
        <v>3325</v>
      </c>
      <c r="G13" s="22">
        <f>D13*(1-Escalas_Volumen!$D$5)</f>
        <v>3220</v>
      </c>
      <c r="H13" s="22">
        <f>D13*(1-Escalas_Volumen!$D$6)</f>
        <v>3080</v>
      </c>
      <c r="I13" s="22">
        <f>D13*(1-Escalas_Volumen!$D$7)</f>
        <v>2975</v>
      </c>
      <c r="J13" s="22">
        <f>D13*(1-Escalas_Volumen!$D$8)</f>
        <v>2870</v>
      </c>
      <c r="K13" s="23">
        <f t="shared" si="1"/>
        <v>0.2857142857</v>
      </c>
      <c r="L13" s="23">
        <f t="shared" si="2"/>
        <v>0.1289198606</v>
      </c>
    </row>
    <row r="14">
      <c r="A14" s="19" t="s">
        <v>255</v>
      </c>
      <c r="B14" s="19" t="s">
        <v>257</v>
      </c>
      <c r="C14" s="22">
        <f>VLOOKUP(A14,Productos!$A:$P,9,FALSE)</f>
        <v>2860</v>
      </c>
      <c r="D14" s="22">
        <f>VLOOKUP(A14,Productos!$A:$P,11,FALSE)</f>
        <v>3800</v>
      </c>
      <c r="E14" s="22">
        <f>D14*(1-Escalas_Volumen!$D$3)</f>
        <v>3800</v>
      </c>
      <c r="F14" s="22">
        <f>D14*(1-Escalas_Volumen!$D$4)</f>
        <v>3610</v>
      </c>
      <c r="G14" s="22">
        <f>D14*(1-Escalas_Volumen!$D$5)</f>
        <v>3496</v>
      </c>
      <c r="H14" s="22">
        <f>D14*(1-Escalas_Volumen!$D$6)</f>
        <v>3344</v>
      </c>
      <c r="I14" s="22">
        <f>D14*(1-Escalas_Volumen!$D$7)</f>
        <v>3230</v>
      </c>
      <c r="J14" s="22">
        <f>D14*(1-Escalas_Volumen!$D$8)</f>
        <v>3116</v>
      </c>
      <c r="K14" s="23">
        <f t="shared" si="1"/>
        <v>0.2473684211</v>
      </c>
      <c r="L14" s="23">
        <f t="shared" si="2"/>
        <v>0.08215661104</v>
      </c>
    </row>
    <row r="15">
      <c r="A15" s="19" t="s">
        <v>259</v>
      </c>
      <c r="B15" s="19" t="s">
        <v>262</v>
      </c>
      <c r="C15" s="22">
        <f>VLOOKUP(A15,Productos!$A:$P,9,FALSE)</f>
        <v>950</v>
      </c>
      <c r="D15" s="22">
        <f>VLOOKUP(A15,Productos!$A:$P,11,FALSE)</f>
        <v>1490</v>
      </c>
      <c r="E15" s="22">
        <f>D15*(1-Escalas_Volumen!$D$3)</f>
        <v>1490</v>
      </c>
      <c r="F15" s="22">
        <f>D15*(1-Escalas_Volumen!$D$4)</f>
        <v>1415.5</v>
      </c>
      <c r="G15" s="22">
        <f>D15*(1-Escalas_Volumen!$D$5)</f>
        <v>1370.8</v>
      </c>
      <c r="H15" s="22">
        <f>D15*(1-Escalas_Volumen!$D$6)</f>
        <v>1311.2</v>
      </c>
      <c r="I15" s="22">
        <f>D15*(1-Escalas_Volumen!$D$7)</f>
        <v>1266.5</v>
      </c>
      <c r="J15" s="22">
        <f>D15*(1-Escalas_Volumen!$D$8)</f>
        <v>1221.8</v>
      </c>
      <c r="K15" s="23">
        <f t="shared" si="1"/>
        <v>0.3624161074</v>
      </c>
      <c r="L15" s="23">
        <f t="shared" si="2"/>
        <v>0.2224586675</v>
      </c>
    </row>
    <row r="16">
      <c r="A16" s="19" t="s">
        <v>263</v>
      </c>
      <c r="B16" s="19" t="s">
        <v>266</v>
      </c>
      <c r="C16" s="22">
        <f>VLOOKUP(A16,Productos!$A:$P,9,FALSE)</f>
        <v>4500</v>
      </c>
      <c r="D16" s="22">
        <f>VLOOKUP(A16,Productos!$A:$P,11,FALSE)</f>
        <v>6000</v>
      </c>
      <c r="E16" s="22">
        <f>D16*(1-Escalas_Volumen!$D$3)</f>
        <v>6000</v>
      </c>
      <c r="F16" s="22">
        <f>D16*(1-Escalas_Volumen!$D$4)</f>
        <v>5700</v>
      </c>
      <c r="G16" s="22">
        <f>D16*(1-Escalas_Volumen!$D$5)</f>
        <v>5520</v>
      </c>
      <c r="H16" s="22">
        <f>D16*(1-Escalas_Volumen!$D$6)</f>
        <v>5280</v>
      </c>
      <c r="I16" s="22">
        <f>D16*(1-Escalas_Volumen!$D$7)</f>
        <v>5100</v>
      </c>
      <c r="J16" s="22">
        <f>D16*(1-Escalas_Volumen!$D$8)</f>
        <v>4920</v>
      </c>
      <c r="K16" s="23">
        <f t="shared" si="1"/>
        <v>0.25</v>
      </c>
      <c r="L16" s="23">
        <f t="shared" si="2"/>
        <v>0.08536585366</v>
      </c>
    </row>
    <row r="17">
      <c r="A17" s="4"/>
      <c r="B17" s="4"/>
      <c r="C17" s="12"/>
      <c r="D17" s="12"/>
      <c r="E17" s="12"/>
      <c r="F17" s="12"/>
      <c r="G17" s="12"/>
      <c r="H17" s="12"/>
      <c r="I17" s="12"/>
      <c r="J17" s="12"/>
      <c r="K17" s="25"/>
      <c r="L17" s="25"/>
    </row>
    <row r="18">
      <c r="A18" s="4"/>
      <c r="B18" s="4"/>
      <c r="C18" s="12"/>
      <c r="D18" s="12"/>
      <c r="E18" s="12"/>
      <c r="F18" s="12"/>
      <c r="G18" s="12"/>
      <c r="H18" s="12"/>
      <c r="I18" s="12"/>
      <c r="J18" s="12"/>
      <c r="K18" s="25"/>
      <c r="L18" s="25"/>
    </row>
    <row r="19">
      <c r="A19" s="4"/>
      <c r="B19" s="4"/>
      <c r="C19" s="12"/>
      <c r="D19" s="12"/>
      <c r="E19" s="12"/>
      <c r="F19" s="12"/>
      <c r="G19" s="12"/>
      <c r="H19" s="12"/>
      <c r="I19" s="12"/>
      <c r="J19" s="12"/>
      <c r="K19" s="25"/>
      <c r="L19" s="25"/>
    </row>
    <row r="20">
      <c r="A20" s="4"/>
      <c r="B20" s="4"/>
      <c r="C20" s="12"/>
      <c r="D20" s="12"/>
      <c r="E20" s="12"/>
      <c r="F20" s="12"/>
      <c r="G20" s="12"/>
      <c r="H20" s="12"/>
      <c r="I20" s="12"/>
      <c r="J20" s="12"/>
      <c r="K20" s="25"/>
      <c r="L20" s="25"/>
    </row>
    <row r="21" ht="15.75" customHeight="1">
      <c r="A21" s="4"/>
      <c r="B21" s="4"/>
      <c r="C21" s="12"/>
      <c r="D21" s="12"/>
      <c r="E21" s="12"/>
      <c r="F21" s="12"/>
      <c r="G21" s="12"/>
      <c r="H21" s="12"/>
      <c r="I21" s="12"/>
      <c r="J21" s="12"/>
      <c r="K21" s="25"/>
      <c r="L21" s="25"/>
    </row>
    <row r="22" ht="15.75" customHeight="1">
      <c r="A22" s="4"/>
      <c r="B22" s="4"/>
      <c r="C22" s="12"/>
      <c r="D22" s="12"/>
      <c r="E22" s="12"/>
      <c r="F22" s="12"/>
      <c r="G22" s="12"/>
      <c r="H22" s="12"/>
      <c r="I22" s="12"/>
      <c r="J22" s="12"/>
      <c r="K22" s="25"/>
      <c r="L22" s="25"/>
    </row>
    <row r="23" ht="15.75" customHeight="1">
      <c r="A23" s="4"/>
      <c r="B23" s="4"/>
      <c r="C23" s="12"/>
      <c r="D23" s="12"/>
      <c r="E23" s="12"/>
      <c r="F23" s="12"/>
      <c r="G23" s="12"/>
      <c r="H23" s="12"/>
      <c r="I23" s="12"/>
      <c r="J23" s="12"/>
      <c r="K23" s="25"/>
      <c r="L23" s="25"/>
    </row>
    <row r="24" ht="15.75" customHeight="1">
      <c r="A24" s="4"/>
      <c r="B24" s="4"/>
      <c r="C24" s="12"/>
      <c r="D24" s="12"/>
      <c r="E24" s="12"/>
      <c r="F24" s="12"/>
      <c r="G24" s="12"/>
      <c r="H24" s="12"/>
      <c r="I24" s="12"/>
      <c r="J24" s="12"/>
      <c r="K24" s="25"/>
      <c r="L24" s="25"/>
    </row>
    <row r="25" ht="15.75" customHeight="1">
      <c r="A25" s="4"/>
      <c r="B25" s="4"/>
      <c r="C25" s="12"/>
      <c r="D25" s="12"/>
      <c r="E25" s="12"/>
      <c r="F25" s="12"/>
      <c r="G25" s="12"/>
      <c r="H25" s="12"/>
      <c r="I25" s="12"/>
      <c r="J25" s="12"/>
      <c r="K25" s="25"/>
      <c r="L25" s="25"/>
    </row>
    <row r="26" ht="15.75" customHeight="1">
      <c r="A26" s="4"/>
      <c r="B26" s="4"/>
      <c r="C26" s="12"/>
      <c r="D26" s="12"/>
      <c r="E26" s="12"/>
      <c r="F26" s="12"/>
      <c r="G26" s="12"/>
      <c r="H26" s="12"/>
      <c r="I26" s="12"/>
      <c r="J26" s="12"/>
      <c r="K26" s="25"/>
      <c r="L26" s="25"/>
    </row>
    <row r="27" ht="15.75" customHeight="1">
      <c r="A27" s="4"/>
      <c r="B27" s="4"/>
      <c r="C27" s="12"/>
      <c r="D27" s="12"/>
      <c r="E27" s="12"/>
      <c r="F27" s="12"/>
      <c r="G27" s="12"/>
      <c r="H27" s="12"/>
      <c r="I27" s="12"/>
      <c r="J27" s="12"/>
      <c r="K27" s="25"/>
      <c r="L27" s="25"/>
    </row>
    <row r="28" ht="15.75" customHeight="1">
      <c r="A28" s="4"/>
      <c r="B28" s="4"/>
      <c r="C28" s="12"/>
      <c r="D28" s="12"/>
      <c r="E28" s="12"/>
      <c r="F28" s="12"/>
      <c r="G28" s="12"/>
      <c r="H28" s="12"/>
      <c r="I28" s="12"/>
      <c r="J28" s="12"/>
      <c r="K28" s="25"/>
      <c r="L28" s="25"/>
    </row>
    <row r="29" ht="15.75" customHeight="1">
      <c r="A29" s="4"/>
      <c r="B29" s="4"/>
      <c r="C29" s="12"/>
      <c r="D29" s="12"/>
      <c r="E29" s="12"/>
      <c r="F29" s="12"/>
      <c r="G29" s="12"/>
      <c r="H29" s="12"/>
      <c r="I29" s="12"/>
      <c r="J29" s="12"/>
      <c r="K29" s="25"/>
      <c r="L29" s="25"/>
    </row>
    <row r="30" ht="15.75" customHeight="1">
      <c r="A30" s="4"/>
      <c r="B30" s="4"/>
      <c r="C30" s="12"/>
      <c r="D30" s="12"/>
      <c r="E30" s="12"/>
      <c r="F30" s="12"/>
      <c r="G30" s="12"/>
      <c r="H30" s="12"/>
      <c r="I30" s="12"/>
      <c r="J30" s="12"/>
      <c r="K30" s="25"/>
      <c r="L30" s="25"/>
    </row>
    <row r="31" ht="15.75" customHeight="1">
      <c r="A31" s="4"/>
      <c r="B31" s="4"/>
      <c r="C31" s="12"/>
      <c r="D31" s="12"/>
      <c r="E31" s="12"/>
      <c r="F31" s="12"/>
      <c r="G31" s="12"/>
      <c r="H31" s="12"/>
      <c r="I31" s="12"/>
      <c r="J31" s="12"/>
      <c r="K31" s="25"/>
      <c r="L31" s="25"/>
    </row>
    <row r="32" ht="15.75" customHeight="1">
      <c r="A32" s="4"/>
      <c r="B32" s="4"/>
      <c r="C32" s="12"/>
      <c r="D32" s="12"/>
      <c r="E32" s="12"/>
      <c r="F32" s="12"/>
      <c r="G32" s="12"/>
      <c r="H32" s="12"/>
      <c r="I32" s="12"/>
      <c r="J32" s="12"/>
      <c r="K32" s="25"/>
      <c r="L32" s="25"/>
    </row>
    <row r="33" ht="15.75" customHeight="1">
      <c r="A33" s="4"/>
      <c r="B33" s="4"/>
      <c r="C33" s="12"/>
      <c r="D33" s="12"/>
      <c r="E33" s="12"/>
      <c r="F33" s="12"/>
      <c r="G33" s="12"/>
      <c r="H33" s="12"/>
      <c r="I33" s="12"/>
      <c r="J33" s="12"/>
      <c r="K33" s="25"/>
      <c r="L33" s="25"/>
    </row>
    <row r="34" ht="15.75" customHeight="1">
      <c r="A34" s="4"/>
      <c r="B34" s="4"/>
      <c r="C34" s="12"/>
      <c r="D34" s="12"/>
      <c r="E34" s="12"/>
      <c r="F34" s="12"/>
      <c r="G34" s="12"/>
      <c r="H34" s="12"/>
      <c r="I34" s="12"/>
      <c r="J34" s="12"/>
      <c r="K34" s="25"/>
      <c r="L34" s="25"/>
    </row>
    <row r="35" ht="15.75" customHeight="1">
      <c r="A35" s="4"/>
      <c r="B35" s="4"/>
      <c r="C35" s="12"/>
      <c r="D35" s="12"/>
      <c r="E35" s="12"/>
      <c r="F35" s="12"/>
      <c r="G35" s="12"/>
      <c r="H35" s="12"/>
      <c r="I35" s="12"/>
      <c r="J35" s="12"/>
      <c r="K35" s="25"/>
      <c r="L35" s="25"/>
    </row>
    <row r="36" ht="15.75" customHeight="1">
      <c r="A36" s="4"/>
      <c r="B36" s="4"/>
      <c r="C36" s="12"/>
      <c r="D36" s="12"/>
      <c r="E36" s="12"/>
      <c r="F36" s="12"/>
      <c r="G36" s="12"/>
      <c r="H36" s="12"/>
      <c r="I36" s="12"/>
      <c r="J36" s="12"/>
      <c r="K36" s="25"/>
      <c r="L36" s="25"/>
    </row>
    <row r="37" ht="15.75" customHeight="1">
      <c r="A37" s="4"/>
      <c r="B37" s="4"/>
      <c r="C37" s="12"/>
      <c r="D37" s="12"/>
      <c r="E37" s="12"/>
      <c r="F37" s="12"/>
      <c r="G37" s="12"/>
      <c r="H37" s="12"/>
      <c r="I37" s="12"/>
      <c r="J37" s="12"/>
      <c r="K37" s="25"/>
      <c r="L37" s="25"/>
    </row>
    <row r="38" ht="15.75" customHeight="1">
      <c r="A38" s="4"/>
      <c r="B38" s="4"/>
      <c r="C38" s="12"/>
      <c r="D38" s="12"/>
      <c r="E38" s="12"/>
      <c r="F38" s="12"/>
      <c r="G38" s="12"/>
      <c r="H38" s="12"/>
      <c r="I38" s="12"/>
      <c r="J38" s="12"/>
      <c r="K38" s="25"/>
      <c r="L38" s="25"/>
    </row>
    <row r="39" ht="15.75" customHeight="1">
      <c r="A39" s="4"/>
      <c r="B39" s="4"/>
      <c r="C39" s="12"/>
      <c r="D39" s="12"/>
      <c r="E39" s="12"/>
      <c r="F39" s="12"/>
      <c r="G39" s="12"/>
      <c r="H39" s="12"/>
      <c r="I39" s="12"/>
      <c r="J39" s="12"/>
      <c r="K39" s="25"/>
      <c r="L39" s="25"/>
    </row>
    <row r="40" ht="15.75" customHeight="1">
      <c r="A40" s="4"/>
      <c r="B40" s="4"/>
      <c r="C40" s="12"/>
      <c r="D40" s="12"/>
      <c r="E40" s="12"/>
      <c r="F40" s="12"/>
      <c r="G40" s="12"/>
      <c r="H40" s="12"/>
      <c r="I40" s="12"/>
      <c r="J40" s="12"/>
      <c r="K40" s="25"/>
      <c r="L40" s="25"/>
    </row>
    <row r="41" ht="15.75" customHeight="1">
      <c r="A41" s="4"/>
      <c r="B41" s="4"/>
      <c r="C41" s="12"/>
      <c r="D41" s="12"/>
      <c r="E41" s="12"/>
      <c r="F41" s="12"/>
      <c r="G41" s="12"/>
      <c r="H41" s="12"/>
      <c r="I41" s="12"/>
      <c r="J41" s="12"/>
      <c r="K41" s="25"/>
      <c r="L41" s="25"/>
    </row>
    <row r="42" ht="15.75" customHeight="1">
      <c r="A42" s="4"/>
      <c r="B42" s="4"/>
      <c r="C42" s="12"/>
      <c r="D42" s="12"/>
      <c r="E42" s="12"/>
      <c r="F42" s="12"/>
      <c r="G42" s="12"/>
      <c r="H42" s="12"/>
      <c r="I42" s="12"/>
      <c r="J42" s="12"/>
      <c r="K42" s="25"/>
      <c r="L42" s="25"/>
    </row>
    <row r="43" ht="15.75" customHeight="1">
      <c r="A43" s="4"/>
      <c r="B43" s="4"/>
      <c r="C43" s="12"/>
      <c r="D43" s="12"/>
      <c r="E43" s="12"/>
      <c r="F43" s="12"/>
      <c r="G43" s="12"/>
      <c r="H43" s="12"/>
      <c r="I43" s="12"/>
      <c r="J43" s="12"/>
      <c r="K43" s="25"/>
      <c r="L43" s="25"/>
    </row>
    <row r="44" ht="15.75" customHeight="1">
      <c r="A44" s="4"/>
      <c r="B44" s="4"/>
      <c r="C44" s="12"/>
      <c r="D44" s="12"/>
      <c r="E44" s="12"/>
      <c r="F44" s="12"/>
      <c r="G44" s="12"/>
      <c r="H44" s="12"/>
      <c r="I44" s="12"/>
      <c r="J44" s="12"/>
      <c r="K44" s="25"/>
      <c r="L44" s="25"/>
    </row>
    <row r="45" ht="15.75" customHeight="1">
      <c r="A45" s="4"/>
      <c r="B45" s="4"/>
      <c r="C45" s="12"/>
      <c r="D45" s="12"/>
      <c r="E45" s="12"/>
      <c r="F45" s="12"/>
      <c r="G45" s="12"/>
      <c r="H45" s="12"/>
      <c r="I45" s="12"/>
      <c r="J45" s="12"/>
      <c r="K45" s="25"/>
      <c r="L45" s="25"/>
    </row>
    <row r="46" ht="15.75" customHeight="1">
      <c r="A46" s="4"/>
      <c r="B46" s="4"/>
      <c r="C46" s="12"/>
      <c r="D46" s="12"/>
      <c r="E46" s="12"/>
      <c r="F46" s="12"/>
      <c r="G46" s="12"/>
      <c r="H46" s="12"/>
      <c r="I46" s="12"/>
      <c r="J46" s="12"/>
      <c r="K46" s="25"/>
      <c r="L46" s="25"/>
    </row>
    <row r="47" ht="15.75" customHeight="1">
      <c r="A47" s="4"/>
      <c r="B47" s="4"/>
      <c r="C47" s="12"/>
      <c r="D47" s="12"/>
      <c r="E47" s="12"/>
      <c r="F47" s="12"/>
      <c r="G47" s="12"/>
      <c r="H47" s="12"/>
      <c r="I47" s="12"/>
      <c r="J47" s="12"/>
      <c r="K47" s="25"/>
      <c r="L47" s="25"/>
    </row>
    <row r="48" ht="15.75" customHeight="1">
      <c r="A48" s="4"/>
      <c r="B48" s="4"/>
      <c r="C48" s="12"/>
      <c r="D48" s="12"/>
      <c r="E48" s="12"/>
      <c r="F48" s="12"/>
      <c r="G48" s="12"/>
      <c r="H48" s="12"/>
      <c r="I48" s="12"/>
      <c r="J48" s="12"/>
      <c r="K48" s="25"/>
      <c r="L48" s="25"/>
    </row>
    <row r="49" ht="15.75" customHeight="1">
      <c r="A49" s="4"/>
      <c r="B49" s="4"/>
      <c r="C49" s="12"/>
      <c r="D49" s="12"/>
      <c r="E49" s="12"/>
      <c r="F49" s="12"/>
      <c r="G49" s="12"/>
      <c r="H49" s="12"/>
      <c r="I49" s="12"/>
      <c r="J49" s="12"/>
      <c r="K49" s="25"/>
      <c r="L49" s="25"/>
    </row>
    <row r="50" ht="15.75" customHeight="1">
      <c r="A50" s="4"/>
      <c r="B50" s="4"/>
      <c r="C50" s="12"/>
      <c r="D50" s="12"/>
      <c r="E50" s="12"/>
      <c r="F50" s="12"/>
      <c r="G50" s="12"/>
      <c r="H50" s="12"/>
      <c r="I50" s="12"/>
      <c r="J50" s="12"/>
      <c r="K50" s="25"/>
      <c r="L50" s="25"/>
    </row>
    <row r="51" ht="15.75" customHeight="1">
      <c r="A51" s="4"/>
      <c r="B51" s="4"/>
      <c r="C51" s="12"/>
      <c r="D51" s="12"/>
      <c r="E51" s="12"/>
      <c r="F51" s="12"/>
      <c r="G51" s="12"/>
      <c r="H51" s="12"/>
      <c r="I51" s="12"/>
      <c r="J51" s="12"/>
      <c r="K51" s="25"/>
      <c r="L51" s="25"/>
    </row>
    <row r="52" ht="15.75" customHeight="1">
      <c r="A52" s="4"/>
      <c r="B52" s="4"/>
      <c r="C52" s="12"/>
      <c r="D52" s="12"/>
      <c r="E52" s="12"/>
      <c r="F52" s="12"/>
      <c r="G52" s="12"/>
      <c r="H52" s="12"/>
      <c r="I52" s="12"/>
      <c r="J52" s="12"/>
      <c r="K52" s="25"/>
      <c r="L52" s="25"/>
    </row>
    <row r="53" ht="15.75" customHeight="1">
      <c r="A53" s="4"/>
      <c r="B53" s="4"/>
      <c r="C53" s="12"/>
      <c r="D53" s="12"/>
      <c r="E53" s="12"/>
      <c r="F53" s="12"/>
      <c r="G53" s="12"/>
      <c r="H53" s="12"/>
      <c r="I53" s="12"/>
      <c r="J53" s="12"/>
      <c r="K53" s="25"/>
      <c r="L53" s="25"/>
    </row>
    <row r="54" ht="15.75" customHeight="1">
      <c r="A54" s="4"/>
      <c r="B54" s="4"/>
      <c r="C54" s="12"/>
      <c r="D54" s="12"/>
      <c r="E54" s="12"/>
      <c r="F54" s="12"/>
      <c r="G54" s="12"/>
      <c r="H54" s="12"/>
      <c r="I54" s="12"/>
      <c r="J54" s="12"/>
      <c r="K54" s="25"/>
      <c r="L54" s="25"/>
    </row>
    <row r="55" ht="15.75" customHeight="1">
      <c r="A55" s="4"/>
      <c r="B55" s="4"/>
      <c r="C55" s="12"/>
      <c r="D55" s="12"/>
      <c r="E55" s="12"/>
      <c r="F55" s="12"/>
      <c r="G55" s="12"/>
      <c r="H55" s="12"/>
      <c r="I55" s="12"/>
      <c r="J55" s="12"/>
      <c r="K55" s="25"/>
      <c r="L55" s="25"/>
    </row>
    <row r="56" ht="15.75" customHeight="1">
      <c r="A56" s="4"/>
      <c r="B56" s="4"/>
      <c r="C56" s="12"/>
      <c r="D56" s="12"/>
      <c r="E56" s="12"/>
      <c r="F56" s="12"/>
      <c r="G56" s="12"/>
      <c r="H56" s="12"/>
      <c r="I56" s="12"/>
      <c r="J56" s="12"/>
      <c r="K56" s="25"/>
      <c r="L56" s="25"/>
    </row>
    <row r="57" ht="15.75" customHeight="1">
      <c r="A57" s="4"/>
      <c r="B57" s="4"/>
      <c r="C57" s="12"/>
      <c r="D57" s="12"/>
      <c r="E57" s="12"/>
      <c r="F57" s="12"/>
      <c r="G57" s="12"/>
      <c r="H57" s="12"/>
      <c r="I57" s="12"/>
      <c r="J57" s="12"/>
      <c r="K57" s="25"/>
      <c r="L57" s="25"/>
    </row>
    <row r="58" ht="15.75" customHeight="1">
      <c r="A58" s="4"/>
      <c r="B58" s="4"/>
      <c r="C58" s="12"/>
      <c r="D58" s="12"/>
      <c r="E58" s="12"/>
      <c r="F58" s="12"/>
      <c r="G58" s="12"/>
      <c r="H58" s="12"/>
      <c r="I58" s="12"/>
      <c r="J58" s="12"/>
      <c r="K58" s="25"/>
      <c r="L58" s="25"/>
    </row>
    <row r="59" ht="15.75" customHeight="1">
      <c r="A59" s="4"/>
      <c r="B59" s="4"/>
      <c r="C59" s="12"/>
      <c r="D59" s="12"/>
      <c r="E59" s="12"/>
      <c r="F59" s="12"/>
      <c r="G59" s="12"/>
      <c r="H59" s="12"/>
      <c r="I59" s="12"/>
      <c r="J59" s="12"/>
      <c r="K59" s="25"/>
      <c r="L59" s="25"/>
    </row>
    <row r="60" ht="15.75" customHeight="1">
      <c r="A60" s="4"/>
      <c r="B60" s="4"/>
      <c r="C60" s="12"/>
      <c r="D60" s="12"/>
      <c r="E60" s="12"/>
      <c r="F60" s="12"/>
      <c r="G60" s="12"/>
      <c r="H60" s="12"/>
      <c r="I60" s="12"/>
      <c r="J60" s="12"/>
      <c r="K60" s="25"/>
      <c r="L60" s="25"/>
    </row>
    <row r="61" ht="15.75" customHeight="1">
      <c r="A61" s="4"/>
      <c r="B61" s="4"/>
      <c r="C61" s="12"/>
      <c r="D61" s="12"/>
      <c r="E61" s="12"/>
      <c r="F61" s="12"/>
      <c r="G61" s="12"/>
      <c r="H61" s="12"/>
      <c r="I61" s="12"/>
      <c r="J61" s="12"/>
      <c r="K61" s="25"/>
      <c r="L61" s="25"/>
    </row>
    <row r="62" ht="15.75" customHeight="1">
      <c r="A62" s="4"/>
      <c r="B62" s="4"/>
      <c r="C62" s="12"/>
      <c r="D62" s="12"/>
      <c r="E62" s="12"/>
      <c r="F62" s="12"/>
      <c r="G62" s="12"/>
      <c r="H62" s="12"/>
      <c r="I62" s="12"/>
      <c r="J62" s="12"/>
      <c r="K62" s="25"/>
      <c r="L62" s="25"/>
    </row>
    <row r="63" ht="15.75" customHeight="1">
      <c r="A63" s="4"/>
      <c r="B63" s="4"/>
      <c r="C63" s="12"/>
      <c r="D63" s="12"/>
      <c r="E63" s="12"/>
      <c r="F63" s="12"/>
      <c r="G63" s="12"/>
      <c r="H63" s="12"/>
      <c r="I63" s="12"/>
      <c r="J63" s="12"/>
      <c r="K63" s="25"/>
      <c r="L63" s="25"/>
    </row>
    <row r="64" ht="15.75" customHeight="1">
      <c r="A64" s="4"/>
      <c r="B64" s="4"/>
      <c r="C64" s="12"/>
      <c r="D64" s="12"/>
      <c r="E64" s="12"/>
      <c r="F64" s="12"/>
      <c r="G64" s="12"/>
      <c r="H64" s="12"/>
      <c r="I64" s="12"/>
      <c r="J64" s="12"/>
      <c r="K64" s="25"/>
      <c r="L64" s="25"/>
    </row>
    <row r="65" ht="15.75" customHeight="1">
      <c r="A65" s="4"/>
      <c r="B65" s="4"/>
      <c r="C65" s="12"/>
      <c r="D65" s="12"/>
      <c r="E65" s="12"/>
      <c r="F65" s="12"/>
      <c r="G65" s="12"/>
      <c r="H65" s="12"/>
      <c r="I65" s="12"/>
      <c r="J65" s="12"/>
      <c r="K65" s="25"/>
      <c r="L65" s="25"/>
    </row>
    <row r="66" ht="15.75" customHeight="1">
      <c r="A66" s="4"/>
      <c r="B66" s="4"/>
      <c r="C66" s="12"/>
      <c r="D66" s="12"/>
      <c r="E66" s="12"/>
      <c r="F66" s="12"/>
      <c r="G66" s="12"/>
      <c r="H66" s="12"/>
      <c r="I66" s="12"/>
      <c r="J66" s="12"/>
      <c r="K66" s="25"/>
      <c r="L66" s="25"/>
    </row>
    <row r="67" ht="15.75" customHeight="1">
      <c r="A67" s="4"/>
      <c r="B67" s="4"/>
      <c r="C67" s="12"/>
      <c r="D67" s="12"/>
      <c r="E67" s="12"/>
      <c r="F67" s="12"/>
      <c r="G67" s="12"/>
      <c r="H67" s="12"/>
      <c r="I67" s="12"/>
      <c r="J67" s="12"/>
      <c r="K67" s="25"/>
      <c r="L67" s="25"/>
    </row>
    <row r="68" ht="15.75" customHeight="1">
      <c r="A68" s="4"/>
      <c r="B68" s="4"/>
      <c r="C68" s="12"/>
      <c r="D68" s="12"/>
      <c r="E68" s="12"/>
      <c r="F68" s="12"/>
      <c r="G68" s="12"/>
      <c r="H68" s="12"/>
      <c r="I68" s="12"/>
      <c r="J68" s="12"/>
      <c r="K68" s="25"/>
      <c r="L68" s="25"/>
    </row>
    <row r="69" ht="15.75" customHeight="1">
      <c r="A69" s="4"/>
      <c r="B69" s="4"/>
      <c r="C69" s="12"/>
      <c r="D69" s="12"/>
      <c r="E69" s="12"/>
      <c r="F69" s="12"/>
      <c r="G69" s="12"/>
      <c r="H69" s="12"/>
      <c r="I69" s="12"/>
      <c r="J69" s="12"/>
      <c r="K69" s="25"/>
      <c r="L69" s="25"/>
    </row>
    <row r="70" ht="15.75" customHeight="1">
      <c r="A70" s="4"/>
      <c r="B70" s="4"/>
      <c r="C70" s="12"/>
      <c r="D70" s="12"/>
      <c r="E70" s="12"/>
      <c r="F70" s="12"/>
      <c r="G70" s="12"/>
      <c r="H70" s="12"/>
      <c r="I70" s="12"/>
      <c r="J70" s="12"/>
      <c r="K70" s="25"/>
      <c r="L70" s="25"/>
    </row>
    <row r="71" ht="15.75" customHeight="1">
      <c r="A71" s="4"/>
      <c r="B71" s="4"/>
      <c r="C71" s="12"/>
      <c r="D71" s="12"/>
      <c r="E71" s="12"/>
      <c r="F71" s="12"/>
      <c r="G71" s="12"/>
      <c r="H71" s="12"/>
      <c r="I71" s="12"/>
      <c r="J71" s="12"/>
      <c r="K71" s="25"/>
      <c r="L71" s="25"/>
    </row>
    <row r="72" ht="15.75" customHeight="1">
      <c r="A72" s="4"/>
      <c r="B72" s="4"/>
      <c r="C72" s="12"/>
      <c r="D72" s="12"/>
      <c r="E72" s="12"/>
      <c r="F72" s="12"/>
      <c r="G72" s="12"/>
      <c r="H72" s="12"/>
      <c r="I72" s="12"/>
      <c r="J72" s="12"/>
      <c r="K72" s="25"/>
      <c r="L72" s="25"/>
    </row>
    <row r="73" ht="15.75" customHeight="1">
      <c r="A73" s="4"/>
      <c r="B73" s="4"/>
      <c r="C73" s="12"/>
      <c r="D73" s="12"/>
      <c r="E73" s="12"/>
      <c r="F73" s="12"/>
      <c r="G73" s="12"/>
      <c r="H73" s="12"/>
      <c r="I73" s="12"/>
      <c r="J73" s="12"/>
      <c r="K73" s="25"/>
      <c r="L73" s="25"/>
    </row>
    <row r="74" ht="15.75" customHeight="1">
      <c r="A74" s="4"/>
      <c r="B74" s="4"/>
      <c r="C74" s="12"/>
      <c r="D74" s="12"/>
      <c r="E74" s="12"/>
      <c r="F74" s="12"/>
      <c r="G74" s="12"/>
      <c r="H74" s="12"/>
      <c r="I74" s="12"/>
      <c r="J74" s="12"/>
      <c r="K74" s="25"/>
      <c r="L74" s="25"/>
    </row>
    <row r="75" ht="15.75" customHeight="1">
      <c r="A75" s="4"/>
      <c r="B75" s="4"/>
      <c r="C75" s="12"/>
      <c r="D75" s="12"/>
      <c r="E75" s="12"/>
      <c r="F75" s="12"/>
      <c r="G75" s="12"/>
      <c r="H75" s="12"/>
      <c r="I75" s="12"/>
      <c r="J75" s="12"/>
      <c r="K75" s="25"/>
      <c r="L75" s="25"/>
    </row>
    <row r="76" ht="15.75" customHeight="1">
      <c r="A76" s="4"/>
      <c r="B76" s="4"/>
      <c r="C76" s="12"/>
      <c r="D76" s="12"/>
      <c r="E76" s="12"/>
      <c r="F76" s="12"/>
      <c r="G76" s="12"/>
      <c r="H76" s="12"/>
      <c r="I76" s="12"/>
      <c r="J76" s="12"/>
      <c r="K76" s="25"/>
      <c r="L76" s="25"/>
    </row>
    <row r="77" ht="15.75" customHeight="1">
      <c r="A77" s="4"/>
      <c r="B77" s="4"/>
      <c r="C77" s="12"/>
      <c r="D77" s="12"/>
      <c r="E77" s="12"/>
      <c r="F77" s="12"/>
      <c r="G77" s="12"/>
      <c r="H77" s="12"/>
      <c r="I77" s="12"/>
      <c r="J77" s="12"/>
      <c r="K77" s="25"/>
      <c r="L77" s="25"/>
    </row>
    <row r="78" ht="15.75" customHeight="1">
      <c r="A78" s="4"/>
      <c r="B78" s="4"/>
      <c r="C78" s="12"/>
      <c r="D78" s="12"/>
      <c r="E78" s="12"/>
      <c r="F78" s="12"/>
      <c r="G78" s="12"/>
      <c r="H78" s="12"/>
      <c r="I78" s="12"/>
      <c r="J78" s="12"/>
      <c r="K78" s="25"/>
      <c r="L78" s="25"/>
    </row>
    <row r="79" ht="15.75" customHeight="1">
      <c r="A79" s="4"/>
      <c r="B79" s="4"/>
      <c r="C79" s="12"/>
      <c r="D79" s="12"/>
      <c r="E79" s="12"/>
      <c r="F79" s="12"/>
      <c r="G79" s="12"/>
      <c r="H79" s="12"/>
      <c r="I79" s="12"/>
      <c r="J79" s="12"/>
      <c r="K79" s="25"/>
      <c r="L79" s="25"/>
    </row>
    <row r="80" ht="15.75" customHeight="1">
      <c r="A80" s="4"/>
      <c r="B80" s="4"/>
      <c r="C80" s="12"/>
      <c r="D80" s="12"/>
      <c r="E80" s="12"/>
      <c r="F80" s="12"/>
      <c r="G80" s="12"/>
      <c r="H80" s="12"/>
      <c r="I80" s="12"/>
      <c r="J80" s="12"/>
      <c r="K80" s="25"/>
      <c r="L80" s="25"/>
    </row>
    <row r="81" ht="15.75" customHeight="1">
      <c r="A81" s="4"/>
      <c r="B81" s="4"/>
      <c r="C81" s="12"/>
      <c r="D81" s="12"/>
      <c r="E81" s="12"/>
      <c r="F81" s="12"/>
      <c r="G81" s="12"/>
      <c r="H81" s="12"/>
      <c r="I81" s="12"/>
      <c r="J81" s="12"/>
      <c r="K81" s="25"/>
      <c r="L81" s="25"/>
    </row>
    <row r="82" ht="15.75" customHeight="1">
      <c r="A82" s="4"/>
      <c r="B82" s="4"/>
      <c r="C82" s="12"/>
      <c r="D82" s="12"/>
      <c r="E82" s="12"/>
      <c r="F82" s="12"/>
      <c r="G82" s="12"/>
      <c r="H82" s="12"/>
      <c r="I82" s="12"/>
      <c r="J82" s="12"/>
      <c r="K82" s="25"/>
      <c r="L82" s="25"/>
    </row>
    <row r="83" ht="15.75" customHeight="1">
      <c r="A83" s="4"/>
      <c r="B83" s="4"/>
      <c r="C83" s="12"/>
      <c r="D83" s="12"/>
      <c r="E83" s="12"/>
      <c r="F83" s="12"/>
      <c r="G83" s="12"/>
      <c r="H83" s="12"/>
      <c r="I83" s="12"/>
      <c r="J83" s="12"/>
      <c r="K83" s="25"/>
      <c r="L83" s="25"/>
    </row>
    <row r="84" ht="15.75" customHeight="1">
      <c r="A84" s="4"/>
      <c r="B84" s="4"/>
      <c r="C84" s="12"/>
      <c r="D84" s="12"/>
      <c r="E84" s="12"/>
      <c r="F84" s="12"/>
      <c r="G84" s="12"/>
      <c r="H84" s="12"/>
      <c r="I84" s="12"/>
      <c r="J84" s="12"/>
      <c r="K84" s="25"/>
      <c r="L84" s="25"/>
    </row>
    <row r="85" ht="15.75" customHeight="1">
      <c r="A85" s="4"/>
      <c r="B85" s="4"/>
      <c r="C85" s="12"/>
      <c r="D85" s="12"/>
      <c r="E85" s="12"/>
      <c r="F85" s="12"/>
      <c r="G85" s="12"/>
      <c r="H85" s="12"/>
      <c r="I85" s="12"/>
      <c r="J85" s="12"/>
      <c r="K85" s="25"/>
      <c r="L85" s="25"/>
    </row>
    <row r="86" ht="15.75" customHeight="1">
      <c r="A86" s="4"/>
      <c r="B86" s="4"/>
      <c r="C86" s="12"/>
      <c r="D86" s="12"/>
      <c r="E86" s="12"/>
      <c r="F86" s="12"/>
      <c r="G86" s="12"/>
      <c r="H86" s="12"/>
      <c r="I86" s="12"/>
      <c r="J86" s="12"/>
      <c r="K86" s="25"/>
      <c r="L86" s="25"/>
    </row>
    <row r="87" ht="15.75" customHeight="1">
      <c r="A87" s="4"/>
      <c r="B87" s="4"/>
      <c r="C87" s="12"/>
      <c r="D87" s="12"/>
      <c r="E87" s="12"/>
      <c r="F87" s="12"/>
      <c r="G87" s="12"/>
      <c r="H87" s="12"/>
      <c r="I87" s="12"/>
      <c r="J87" s="12"/>
      <c r="K87" s="25"/>
      <c r="L87" s="25"/>
    </row>
    <row r="88" ht="15.75" customHeight="1">
      <c r="A88" s="4"/>
      <c r="B88" s="4"/>
      <c r="C88" s="12"/>
      <c r="D88" s="12"/>
      <c r="E88" s="12"/>
      <c r="F88" s="12"/>
      <c r="G88" s="12"/>
      <c r="H88" s="12"/>
      <c r="I88" s="12"/>
      <c r="J88" s="12"/>
      <c r="K88" s="25"/>
      <c r="L88" s="25"/>
    </row>
    <row r="89" ht="15.75" customHeight="1">
      <c r="A89" s="4"/>
      <c r="B89" s="4"/>
      <c r="C89" s="12"/>
      <c r="D89" s="12"/>
      <c r="E89" s="12"/>
      <c r="F89" s="12"/>
      <c r="G89" s="12"/>
      <c r="H89" s="12"/>
      <c r="I89" s="12"/>
      <c r="J89" s="12"/>
      <c r="K89" s="25"/>
      <c r="L89" s="25"/>
    </row>
    <row r="90" ht="15.75" customHeight="1">
      <c r="A90" s="4"/>
      <c r="B90" s="4"/>
      <c r="C90" s="12"/>
      <c r="D90" s="12"/>
      <c r="E90" s="12"/>
      <c r="F90" s="12"/>
      <c r="G90" s="12"/>
      <c r="H90" s="12"/>
      <c r="I90" s="12"/>
      <c r="J90" s="12"/>
      <c r="K90" s="25"/>
      <c r="L90" s="25"/>
    </row>
    <row r="91" ht="15.75" customHeight="1">
      <c r="A91" s="4"/>
      <c r="B91" s="4"/>
      <c r="C91" s="12"/>
      <c r="D91" s="12"/>
      <c r="E91" s="12"/>
      <c r="F91" s="12"/>
      <c r="G91" s="12"/>
      <c r="H91" s="12"/>
      <c r="I91" s="12"/>
      <c r="J91" s="12"/>
      <c r="K91" s="25"/>
      <c r="L91" s="25"/>
    </row>
    <row r="92" ht="15.75" customHeight="1">
      <c r="A92" s="4"/>
      <c r="B92" s="4"/>
      <c r="C92" s="12"/>
      <c r="D92" s="12"/>
      <c r="E92" s="12"/>
      <c r="F92" s="12"/>
      <c r="G92" s="12"/>
      <c r="H92" s="12"/>
      <c r="I92" s="12"/>
      <c r="J92" s="12"/>
      <c r="K92" s="25"/>
      <c r="L92" s="25"/>
    </row>
    <row r="93" ht="15.75" customHeight="1">
      <c r="A93" s="4"/>
      <c r="B93" s="4"/>
      <c r="C93" s="12"/>
      <c r="D93" s="12"/>
      <c r="E93" s="12"/>
      <c r="F93" s="12"/>
      <c r="G93" s="12"/>
      <c r="H93" s="12"/>
      <c r="I93" s="12"/>
      <c r="J93" s="12"/>
      <c r="K93" s="25"/>
      <c r="L93" s="25"/>
    </row>
    <row r="94" ht="15.75" customHeight="1">
      <c r="A94" s="4"/>
      <c r="B94" s="4"/>
      <c r="C94" s="12"/>
      <c r="D94" s="12"/>
      <c r="E94" s="12"/>
      <c r="F94" s="12"/>
      <c r="G94" s="12"/>
      <c r="H94" s="12"/>
      <c r="I94" s="12"/>
      <c r="J94" s="12"/>
      <c r="K94" s="25"/>
      <c r="L94" s="25"/>
    </row>
    <row r="95" ht="15.75" customHeight="1">
      <c r="A95" s="4"/>
      <c r="B95" s="4"/>
      <c r="C95" s="12"/>
      <c r="D95" s="12"/>
      <c r="E95" s="12"/>
      <c r="F95" s="12"/>
      <c r="G95" s="12"/>
      <c r="H95" s="12"/>
      <c r="I95" s="12"/>
      <c r="J95" s="12"/>
      <c r="K95" s="25"/>
      <c r="L95" s="25"/>
    </row>
    <row r="96" ht="15.75" customHeight="1">
      <c r="A96" s="4"/>
      <c r="B96" s="4"/>
      <c r="C96" s="12"/>
      <c r="D96" s="12"/>
      <c r="E96" s="12"/>
      <c r="F96" s="12"/>
      <c r="G96" s="12"/>
      <c r="H96" s="12"/>
      <c r="I96" s="12"/>
      <c r="J96" s="12"/>
      <c r="K96" s="25"/>
      <c r="L96" s="25"/>
    </row>
    <row r="97" ht="15.75" customHeight="1">
      <c r="A97" s="4"/>
      <c r="B97" s="4"/>
      <c r="C97" s="12"/>
      <c r="D97" s="12"/>
      <c r="E97" s="12"/>
      <c r="F97" s="12"/>
      <c r="G97" s="12"/>
      <c r="H97" s="12"/>
      <c r="I97" s="12"/>
      <c r="J97" s="12"/>
      <c r="K97" s="25"/>
      <c r="L97" s="25"/>
    </row>
    <row r="98" ht="15.75" customHeight="1">
      <c r="A98" s="4"/>
      <c r="B98" s="4"/>
      <c r="C98" s="12"/>
      <c r="D98" s="12"/>
      <c r="E98" s="12"/>
      <c r="F98" s="12"/>
      <c r="G98" s="12"/>
      <c r="H98" s="12"/>
      <c r="I98" s="12"/>
      <c r="J98" s="12"/>
      <c r="K98" s="25"/>
      <c r="L98" s="25"/>
    </row>
    <row r="99" ht="15.75" customHeight="1">
      <c r="A99" s="4"/>
      <c r="B99" s="4"/>
      <c r="C99" s="12"/>
      <c r="D99" s="12"/>
      <c r="E99" s="12"/>
      <c r="F99" s="12"/>
      <c r="G99" s="12"/>
      <c r="H99" s="12"/>
      <c r="I99" s="12"/>
      <c r="J99" s="12"/>
      <c r="K99" s="25"/>
      <c r="L99" s="25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7" width="20.0"/>
    <col customWidth="1" min="8" max="26" width="8.71"/>
  </cols>
  <sheetData>
    <row r="1" ht="27.75" customHeight="1">
      <c r="A1" s="1" t="s">
        <v>419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>
      <c r="A3" s="30" t="s">
        <v>420</v>
      </c>
      <c r="B3" s="30" t="s">
        <v>421</v>
      </c>
      <c r="C3" s="30" t="s">
        <v>422</v>
      </c>
      <c r="D3" s="30" t="s">
        <v>423</v>
      </c>
      <c r="E3" s="30" t="s">
        <v>424</v>
      </c>
      <c r="F3" s="30" t="s">
        <v>425</v>
      </c>
      <c r="G3" s="30" t="s">
        <v>426</v>
      </c>
      <c r="H3" s="4"/>
      <c r="I3" s="4"/>
      <c r="J3" s="4"/>
    </row>
    <row r="4">
      <c r="A4" s="4" t="s">
        <v>209</v>
      </c>
      <c r="B4" s="4" t="s">
        <v>18</v>
      </c>
      <c r="C4" s="4" t="s">
        <v>109</v>
      </c>
      <c r="D4" s="4" t="s">
        <v>40</v>
      </c>
      <c r="E4" s="4" t="s">
        <v>304</v>
      </c>
      <c r="F4" s="4" t="s">
        <v>427</v>
      </c>
      <c r="G4" s="4" t="s">
        <v>79</v>
      </c>
      <c r="H4" s="4"/>
      <c r="I4" s="4"/>
      <c r="J4" s="4"/>
    </row>
    <row r="5">
      <c r="A5" s="4" t="s">
        <v>221</v>
      </c>
      <c r="B5" s="4" t="s">
        <v>20</v>
      </c>
      <c r="C5" s="4" t="s">
        <v>97</v>
      </c>
      <c r="D5" s="4" t="s">
        <v>319</v>
      </c>
      <c r="E5" s="4" t="s">
        <v>42</v>
      </c>
      <c r="F5" s="4" t="s">
        <v>44</v>
      </c>
      <c r="G5" s="4" t="s">
        <v>121</v>
      </c>
      <c r="H5" s="4"/>
      <c r="I5" s="4"/>
      <c r="J5" s="4"/>
    </row>
    <row r="6">
      <c r="A6" s="4" t="s">
        <v>245</v>
      </c>
      <c r="B6" s="4" t="s">
        <v>22</v>
      </c>
      <c r="C6" s="4" t="s">
        <v>76</v>
      </c>
      <c r="D6" s="4" t="s">
        <v>303</v>
      </c>
      <c r="E6" s="4" t="s">
        <v>312</v>
      </c>
      <c r="F6" s="4" t="s">
        <v>315</v>
      </c>
      <c r="G6" s="4" t="s">
        <v>95</v>
      </c>
      <c r="H6" s="4"/>
      <c r="I6" s="4"/>
      <c r="J6" s="4"/>
    </row>
    <row r="7">
      <c r="A7" s="4" t="s">
        <v>231</v>
      </c>
      <c r="B7" s="4" t="s">
        <v>24</v>
      </c>
      <c r="C7" s="4" t="s">
        <v>388</v>
      </c>
      <c r="D7" s="4"/>
      <c r="E7" s="4" t="s">
        <v>320</v>
      </c>
      <c r="F7" s="4" t="s">
        <v>310</v>
      </c>
      <c r="G7" s="4" t="s">
        <v>107</v>
      </c>
      <c r="H7" s="4"/>
      <c r="I7" s="4"/>
      <c r="J7" s="4"/>
    </row>
    <row r="8">
      <c r="A8" s="4" t="s">
        <v>261</v>
      </c>
      <c r="B8" s="4" t="s">
        <v>26</v>
      </c>
      <c r="C8" s="4" t="s">
        <v>148</v>
      </c>
      <c r="D8" s="4"/>
      <c r="E8" s="4" t="s">
        <v>404</v>
      </c>
      <c r="F8" s="4" t="s">
        <v>307</v>
      </c>
      <c r="G8" s="4" t="s">
        <v>132</v>
      </c>
      <c r="H8" s="4"/>
      <c r="I8" s="4"/>
      <c r="J8" s="4"/>
    </row>
    <row r="9">
      <c r="A9" s="4" t="s">
        <v>265</v>
      </c>
      <c r="B9" s="4" t="s">
        <v>28</v>
      </c>
      <c r="C9" s="4" t="s">
        <v>139</v>
      </c>
      <c r="D9" s="4"/>
      <c r="E9" s="4"/>
      <c r="F9" s="4" t="s">
        <v>292</v>
      </c>
      <c r="G9" s="4" t="s">
        <v>137</v>
      </c>
      <c r="H9" s="4"/>
      <c r="I9" s="4"/>
      <c r="J9" s="4"/>
    </row>
    <row r="10">
      <c r="A10" s="4"/>
      <c r="B10" s="4" t="s">
        <v>30</v>
      </c>
      <c r="C10" s="4" t="s">
        <v>158</v>
      </c>
      <c r="D10" s="4"/>
      <c r="E10" s="4"/>
      <c r="F10" s="4" t="s">
        <v>428</v>
      </c>
      <c r="G10" s="4" t="s">
        <v>146</v>
      </c>
      <c r="H10" s="4"/>
      <c r="I10" s="4"/>
      <c r="J10" s="4"/>
    </row>
    <row r="11">
      <c r="A11" s="4"/>
      <c r="B11" s="4"/>
      <c r="C11" s="4"/>
      <c r="D11" s="4"/>
      <c r="E11" s="4"/>
      <c r="F11" s="4"/>
      <c r="G11" s="4" t="s">
        <v>165</v>
      </c>
      <c r="H11" s="4"/>
      <c r="I11" s="4"/>
      <c r="J11" s="4"/>
    </row>
    <row r="12">
      <c r="A12" s="4"/>
      <c r="B12" s="4"/>
      <c r="C12" s="4"/>
      <c r="D12" s="4"/>
      <c r="E12" s="4"/>
      <c r="F12" s="4"/>
      <c r="G12" s="4" t="s">
        <v>182</v>
      </c>
      <c r="H12" s="4"/>
      <c r="I12" s="4"/>
      <c r="J12" s="4"/>
    </row>
    <row r="13">
      <c r="A13" s="4"/>
      <c r="B13" s="4"/>
      <c r="C13" s="4"/>
      <c r="D13" s="4"/>
      <c r="E13" s="4"/>
      <c r="F13" s="4"/>
      <c r="G13" s="4" t="s">
        <v>429</v>
      </c>
      <c r="H13" s="4"/>
      <c r="I13" s="4"/>
      <c r="J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90.0"/>
    <col customWidth="1" min="3" max="26" width="8.71"/>
  </cols>
  <sheetData>
    <row r="1" ht="27.75" customHeight="1">
      <c r="A1" s="1" t="s">
        <v>430</v>
      </c>
      <c r="B1" s="2"/>
      <c r="C1" s="2"/>
      <c r="D1" s="2"/>
      <c r="E1" s="2"/>
      <c r="F1" s="2"/>
      <c r="G1" s="2"/>
      <c r="H1" s="3"/>
    </row>
    <row r="2" ht="30.0" customHeight="1">
      <c r="A2" s="4"/>
      <c r="B2" s="4"/>
      <c r="C2" s="4"/>
      <c r="D2" s="4"/>
      <c r="E2" s="4"/>
      <c r="F2" s="4"/>
      <c r="G2" s="4"/>
      <c r="H2" s="4"/>
    </row>
    <row r="3">
      <c r="A3" s="31">
        <v>1.0</v>
      </c>
      <c r="B3" s="4" t="s">
        <v>431</v>
      </c>
      <c r="C3" s="4"/>
      <c r="D3" s="4"/>
      <c r="E3" s="4"/>
      <c r="F3" s="4"/>
      <c r="G3" s="4"/>
      <c r="H3" s="4"/>
    </row>
    <row r="4">
      <c r="A4" s="31">
        <v>2.0</v>
      </c>
      <c r="B4" s="4" t="s">
        <v>432</v>
      </c>
      <c r="C4" s="4"/>
      <c r="D4" s="4"/>
      <c r="E4" s="4"/>
      <c r="F4" s="4"/>
      <c r="G4" s="4"/>
      <c r="H4" s="4"/>
    </row>
    <row r="5">
      <c r="A5" s="31">
        <v>3.0</v>
      </c>
      <c r="B5" s="4" t="s">
        <v>433</v>
      </c>
      <c r="C5" s="4"/>
      <c r="D5" s="4"/>
      <c r="E5" s="4"/>
      <c r="F5" s="4"/>
      <c r="G5" s="4"/>
      <c r="H5" s="4"/>
    </row>
    <row r="6">
      <c r="A6" s="31">
        <v>4.0</v>
      </c>
      <c r="B6" s="4" t="s">
        <v>434</v>
      </c>
      <c r="C6" s="4"/>
      <c r="D6" s="4"/>
      <c r="E6" s="4"/>
      <c r="F6" s="4"/>
      <c r="G6" s="4"/>
      <c r="H6" s="4"/>
    </row>
    <row r="7">
      <c r="A7" s="31">
        <v>5.0</v>
      </c>
      <c r="B7" s="4" t="s">
        <v>435</v>
      </c>
      <c r="C7" s="4"/>
      <c r="D7" s="4"/>
      <c r="E7" s="4"/>
      <c r="F7" s="4"/>
      <c r="G7" s="4"/>
      <c r="H7" s="4"/>
    </row>
    <row r="8">
      <c r="A8" s="31">
        <v>6.0</v>
      </c>
      <c r="B8" s="4" t="s">
        <v>436</v>
      </c>
      <c r="C8" s="4"/>
      <c r="D8" s="4"/>
      <c r="E8" s="4"/>
      <c r="F8" s="4"/>
      <c r="G8" s="4"/>
      <c r="H8" s="4"/>
    </row>
    <row r="9">
      <c r="A9" s="31">
        <v>7.0</v>
      </c>
      <c r="B9" s="4" t="s">
        <v>437</v>
      </c>
      <c r="C9" s="4"/>
      <c r="D9" s="4"/>
      <c r="E9" s="4"/>
      <c r="F9" s="4"/>
      <c r="G9" s="4"/>
      <c r="H9" s="4"/>
    </row>
    <row r="10">
      <c r="A10" s="31">
        <v>8.0</v>
      </c>
      <c r="B10" s="4" t="s">
        <v>438</v>
      </c>
      <c r="C10" s="4"/>
      <c r="D10" s="4"/>
      <c r="E10" s="4"/>
      <c r="F10" s="4"/>
      <c r="G10" s="4"/>
      <c r="H10" s="4"/>
    </row>
    <row r="11">
      <c r="A11" s="31">
        <v>9.0</v>
      </c>
      <c r="B11" s="4" t="s">
        <v>439</v>
      </c>
      <c r="C11" s="4"/>
      <c r="D11" s="4"/>
      <c r="E11" s="4"/>
      <c r="F11" s="4"/>
      <c r="G11" s="4"/>
      <c r="H11" s="4"/>
    </row>
    <row r="12">
      <c r="A12" s="31">
        <v>10.0</v>
      </c>
      <c r="B12" s="4" t="s">
        <v>440</v>
      </c>
      <c r="C12" s="4"/>
      <c r="D12" s="4"/>
      <c r="E12" s="4"/>
      <c r="F12" s="4"/>
      <c r="G12" s="4"/>
      <c r="H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2026-05-13T15:52:29Z</dcterms:created>
  <dc:creator>openpyxl</dc:creator>
</cp:coreProperties>
</file>